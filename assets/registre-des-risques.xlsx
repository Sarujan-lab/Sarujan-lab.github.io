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d247016dda8cbc7/Bureau/"/>
    </mc:Choice>
  </mc:AlternateContent>
  <xr:revisionPtr revIDLastSave="70" documentId="11_D26CE0C7EB9D78940A1CA6EFF9CF12DC29CDF3FF" xr6:coauthVersionLast="47" xr6:coauthVersionMax="47" xr10:uidLastSave="{220CD67C-C6E1-4D29-BC56-9EB0B79D41DE}"/>
  <bookViews>
    <workbookView xWindow="16080" yWindow="-120" windowWidth="29040" windowHeight="15720" xr2:uid="{00000000-000D-0000-FFFF-FFFF00000000}"/>
  </bookViews>
  <sheets>
    <sheet name="Registre de risques" sheetId="1" r:id="rId1"/>
    <sheet name="GRILLE DE SCORING " sheetId="2" r:id="rId2"/>
    <sheet name="Mini-registre RGPD" sheetId="3" r:id="rId3"/>
    <sheet name="Contrôles clés &amp; Plan d’ac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" i="1" l="1" a="1"/>
  <c r="K67" i="1" s="1"/>
  <c r="L67" i="1" s="1" a="1"/>
  <c r="L67" i="1" s="1"/>
  <c r="K66" i="1" a="1"/>
  <c r="K66" i="1" s="1"/>
  <c r="L66" i="1" s="1" a="1"/>
  <c r="L66" i="1" s="1"/>
  <c r="K65" i="1" a="1"/>
  <c r="K65" i="1" s="1"/>
  <c r="L65" i="1" s="1" a="1"/>
  <c r="L65" i="1" s="1"/>
  <c r="K64" i="1" a="1"/>
  <c r="K64" i="1" s="1"/>
  <c r="L64" i="1" s="1" a="1"/>
  <c r="L64" i="1" s="1"/>
  <c r="K59" i="1" a="1"/>
  <c r="K59" i="1" s="1"/>
  <c r="L59" i="1" s="1" a="1"/>
  <c r="L59" i="1" s="1"/>
  <c r="K58" i="1" a="1"/>
  <c r="K58" i="1" s="1"/>
  <c r="L58" i="1" s="1" a="1"/>
  <c r="L58" i="1" s="1"/>
  <c r="K57" i="1" a="1"/>
  <c r="K57" i="1" s="1"/>
  <c r="L57" i="1" s="1" a="1"/>
  <c r="L57" i="1" s="1"/>
  <c r="K56" i="1" a="1"/>
  <c r="K56" i="1" s="1"/>
  <c r="L56" i="1" s="1" a="1"/>
  <c r="L56" i="1" s="1"/>
  <c r="K51" i="1" a="1"/>
  <c r="K51" i="1" s="1"/>
  <c r="L51" i="1" s="1" a="1"/>
  <c r="L51" i="1" s="1"/>
  <c r="K50" i="1" a="1"/>
  <c r="K50" i="1" s="1"/>
  <c r="L50" i="1" s="1" a="1"/>
  <c r="L50" i="1" s="1"/>
  <c r="K49" i="1" a="1"/>
  <c r="K49" i="1" s="1"/>
  <c r="L49" i="1" s="1" a="1"/>
  <c r="L49" i="1" s="1"/>
  <c r="K48" i="1" a="1"/>
  <c r="K48" i="1" s="1"/>
  <c r="L48" i="1" s="1" a="1"/>
  <c r="L48" i="1" s="1"/>
  <c r="K47" i="1" a="1"/>
  <c r="K47" i="1" s="1"/>
  <c r="L47" i="1" s="1" a="1"/>
  <c r="L47" i="1" s="1"/>
  <c r="K46" i="1" a="1"/>
  <c r="K46" i="1" s="1"/>
  <c r="L46" i="1" s="1" a="1"/>
  <c r="L46" i="1" s="1"/>
  <c r="K41" i="1" a="1"/>
  <c r="K41" i="1" s="1"/>
  <c r="L41" i="1" s="1" a="1"/>
  <c r="L41" i="1" s="1"/>
  <c r="K40" i="1" a="1"/>
  <c r="K40" i="1" s="1"/>
  <c r="L40" i="1" s="1" a="1"/>
  <c r="L40" i="1" s="1"/>
  <c r="K39" i="1" a="1"/>
  <c r="K39" i="1" s="1"/>
  <c r="L39" i="1" s="1" a="1"/>
  <c r="L39" i="1" s="1"/>
  <c r="K38" i="1" a="1"/>
  <c r="K38" i="1" s="1"/>
  <c r="L38" i="1" s="1" a="1"/>
  <c r="L38" i="1" s="1"/>
  <c r="K37" i="1" a="1"/>
  <c r="K37" i="1" s="1"/>
  <c r="L37" i="1" s="1" a="1"/>
  <c r="L37" i="1" s="1"/>
  <c r="K36" i="1" a="1"/>
  <c r="K36" i="1" s="1"/>
  <c r="L36" i="1" s="1" a="1"/>
  <c r="L36" i="1" s="1"/>
  <c r="K35" i="1" a="1"/>
  <c r="K35" i="1" s="1"/>
  <c r="L35" i="1" s="1" a="1"/>
  <c r="L35" i="1" s="1"/>
  <c r="K34" i="1" a="1"/>
  <c r="K34" i="1" s="1"/>
  <c r="L34" i="1" s="1" a="1"/>
  <c r="L34" i="1" s="1"/>
  <c r="K33" i="1" a="1"/>
  <c r="K33" i="1" s="1"/>
  <c r="L33" i="1" s="1" a="1"/>
  <c r="L33" i="1" s="1"/>
  <c r="K28" i="1" a="1"/>
  <c r="K28" i="1" s="1"/>
  <c r="L28" i="1" s="1" a="1"/>
  <c r="L28" i="1" s="1"/>
  <c r="K27" i="1" a="1"/>
  <c r="K27" i="1" s="1"/>
  <c r="L27" i="1" s="1" a="1"/>
  <c r="L27" i="1" s="1"/>
  <c r="K26" i="1" a="1"/>
  <c r="K26" i="1" s="1"/>
  <c r="L26" i="1" s="1" a="1"/>
  <c r="L26" i="1" s="1"/>
  <c r="K25" i="1" a="1"/>
  <c r="K25" i="1" s="1"/>
  <c r="L25" i="1" s="1" a="1"/>
  <c r="L25" i="1" s="1"/>
  <c r="K24" i="1" a="1"/>
  <c r="K24" i="1" s="1"/>
  <c r="L24" i="1" s="1" a="1"/>
  <c r="L24" i="1" s="1"/>
  <c r="K23" i="1" a="1"/>
  <c r="K23" i="1" s="1"/>
  <c r="L23" i="1" s="1" a="1"/>
  <c r="L23" i="1" s="1"/>
  <c r="K22" i="1" a="1"/>
  <c r="K22" i="1" s="1"/>
  <c r="L22" i="1" s="1" a="1"/>
  <c r="L22" i="1" s="1"/>
  <c r="K21" i="1" a="1"/>
  <c r="K21" i="1" s="1"/>
  <c r="L21" i="1" s="1" a="1"/>
  <c r="L21" i="1" s="1"/>
  <c r="K20" i="1" a="1"/>
  <c r="K20" i="1" s="1"/>
  <c r="L20" i="1" s="1" a="1"/>
  <c r="L20" i="1" s="1"/>
  <c r="K19" i="1" a="1"/>
  <c r="K19" i="1" s="1"/>
  <c r="L19" i="1" s="1" a="1"/>
  <c r="L19" i="1" s="1"/>
  <c r="K14" i="1" a="1"/>
  <c r="K14" i="1" s="1"/>
  <c r="L14" i="1" s="1" a="1"/>
  <c r="L14" i="1" s="1"/>
  <c r="K13" i="1" a="1"/>
  <c r="K13" i="1" s="1"/>
  <c r="L13" i="1" s="1" a="1"/>
  <c r="L13" i="1" s="1"/>
  <c r="K12" i="1" a="1"/>
  <c r="K12" i="1" s="1"/>
  <c r="L12" i="1" s="1" a="1"/>
  <c r="L12" i="1" s="1"/>
  <c r="K11" i="1" a="1"/>
  <c r="K11" i="1" s="1"/>
  <c r="L11" i="1" s="1" a="1"/>
  <c r="L11" i="1" s="1"/>
  <c r="K10" i="1" a="1"/>
  <c r="K10" i="1" s="1"/>
  <c r="L10" i="1" s="1" a="1"/>
  <c r="L10" i="1" s="1"/>
  <c r="K9" i="1" a="1"/>
  <c r="K9" i="1" s="1"/>
  <c r="L9" i="1" s="1" a="1"/>
  <c r="L9" i="1" s="1"/>
  <c r="K8" i="1" a="1"/>
  <c r="K8" i="1" s="1"/>
  <c r="L8" i="1" s="1" a="1"/>
  <c r="L8" i="1" s="1"/>
  <c r="K7" i="1" a="1"/>
  <c r="K7" i="1" s="1"/>
  <c r="L7" i="1" s="1" a="1"/>
  <c r="L7" i="1" s="1"/>
  <c r="K6" i="1" a="1"/>
  <c r="K6" i="1" s="1"/>
  <c r="L6" i="1" s="1" a="1"/>
  <c r="L6" i="1" s="1"/>
  <c r="P20" i="1" l="1" a="1"/>
  <c r="P20" i="1" s="1"/>
  <c r="P21" i="1" a="1"/>
  <c r="P21" i="1" s="1"/>
  <c r="P22" i="1" a="1"/>
  <c r="P22" i="1" s="1"/>
  <c r="P19" i="1" a="1"/>
  <c r="P19" i="1" s="1"/>
  <c r="O69" i="1" a="1"/>
  <c r="O69" i="1" s="1"/>
  <c r="O66" i="1" a="1"/>
  <c r="O66" i="1" s="1"/>
  <c r="O67" i="1" a="1"/>
  <c r="O67" i="1" s="1"/>
  <c r="O68" i="1" a="1"/>
  <c r="O68" i="1" s="1"/>
  <c r="O36" i="1" a="1"/>
  <c r="O36" i="1" s="1"/>
  <c r="O37" i="1" a="1"/>
  <c r="O37" i="1" s="1"/>
  <c r="O38" i="1" a="1"/>
  <c r="O38" i="1" s="1"/>
  <c r="O35" i="1" a="1"/>
  <c r="O35" i="1" s="1"/>
  <c r="Q8" i="1" a="1"/>
  <c r="Q8" i="1" s="1"/>
  <c r="Q5" i="1" a="1"/>
  <c r="Q5" i="1" s="1"/>
  <c r="Q7" i="1" a="1"/>
  <c r="Q7" i="1" s="1"/>
  <c r="Q6" i="1" a="1"/>
  <c r="Q6" i="1" s="1"/>
  <c r="O51" i="1" a="1"/>
  <c r="O51" i="1" s="1"/>
  <c r="O48" i="1" a="1"/>
  <c r="O48" i="1" s="1"/>
  <c r="O49" i="1" a="1"/>
  <c r="O49" i="1" s="1"/>
  <c r="O50" i="1" a="1"/>
  <c r="O50" i="1" s="1"/>
  <c r="O61" i="1" a="1"/>
  <c r="O61" i="1" s="1"/>
  <c r="O58" i="1" a="1"/>
  <c r="O58" i="1" s="1"/>
  <c r="O59" i="1" a="1"/>
  <c r="O59" i="1" s="1"/>
  <c r="O60" i="1" a="1"/>
  <c r="O6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<sst xmlns="http://schemas.openxmlformats.org/spreadsheetml/2006/main" count="546" uniqueCount="410">
  <si>
    <t xml:space="preserve">Registre de risques </t>
  </si>
  <si>
    <t>A. Technique &amp; Infrastructure</t>
  </si>
  <si>
    <t>ID</t>
  </si>
  <si>
    <t>Risque (cause)</t>
  </si>
  <si>
    <t>Gravité</t>
  </si>
  <si>
    <t>P</t>
  </si>
  <si>
    <t>G</t>
  </si>
  <si>
    <t>Niveau</t>
  </si>
  <si>
    <t>Mesures préventives (avant)</t>
  </si>
  <si>
    <t>Détection / Réaction (pendant/après)</t>
  </si>
  <si>
    <t xml:space="preserve">Responsable </t>
  </si>
  <si>
    <t>Fréq. revue</t>
  </si>
  <si>
    <t xml:space="preserve">Critique </t>
  </si>
  <si>
    <t>T-01</t>
  </si>
  <si>
    <t xml:space="preserve">Panne hébergeur / indisponibilité du site </t>
  </si>
  <si>
    <t>Site inaccessible, perte d’utilisateurs, mauvaise image</t>
  </si>
  <si>
    <t>12 Élevé</t>
  </si>
  <si>
    <t>Utiliser un hébergeur mutualisé fiable (OVH, Hostinger, Netlify), effectuer des sauvegardes hebdomadaires sur Google Drive, surveiller le site via UptimeRobot (gratuit).</t>
  </si>
  <si>
    <t>Si panne : vérifier état chez l’hébergeur, restaurer sauvegarde la plus récente, informer via message temporaire sur la page d’accueil.</t>
  </si>
  <si>
    <t xml:space="preserve">SARUJAN </t>
  </si>
  <si>
    <t>Toute les 6 semaines ou après une mise à jour</t>
  </si>
  <si>
    <t>Élevé</t>
  </si>
  <si>
    <t>T-02</t>
  </si>
  <si>
    <t>Mauvaise configuration DNS ou expiration du nom de domaine</t>
  </si>
  <si>
    <t>Site introuvable, interruption du service</t>
  </si>
  <si>
    <t>8 Moyen</t>
  </si>
  <si>
    <t>Annexé les favoris des utilisateurs au cas ou, tester les accès utilisateurs après chaque modification du code.</t>
  </si>
  <si>
    <t>Si bug : désactiver la fonctionnalité temporairement et corriger les droits d’accès.</t>
  </si>
  <si>
    <t>2 fois par an</t>
  </si>
  <si>
    <t>Moyen</t>
  </si>
  <si>
    <t>T-03</t>
  </si>
  <si>
    <t>Plugins ou dépendances non mis à jour</t>
  </si>
  <si>
    <t>Vulnérabilités, erreurs d’affichage, plantage du site</t>
  </si>
  <si>
    <t>16 Élevé</t>
  </si>
  <si>
    <t>Effectuer les mises à jour des modules ou plugins (WordPress, CMS, dépendances JS) après chaque modification du site.</t>
  </si>
  <si>
    <t>En cas d’erreur : désactiver le plugin défectueux, restaurer version précédente.</t>
  </si>
  <si>
    <t>SARUJAN</t>
  </si>
  <si>
    <t>À chaque mise à jour</t>
  </si>
  <si>
    <t xml:space="preserve">Faible </t>
  </si>
  <si>
    <t>T-04</t>
  </si>
  <si>
    <t>Failles de sécurité (formulaires, injections, XSS)</t>
  </si>
  <si>
    <t>Piratage, perte ou vol de données, dégradation du site</t>
  </si>
  <si>
    <t>15 Élevé</t>
  </si>
  <si>
    <t>Sécuriser les formulaires (validation côté serveur), utiliser HTTPS (certificat Let’s Encrypt gratuit), limiter les permissions.</t>
  </si>
  <si>
    <t>Si anomalie : fermer temporairement le formulaire concerné et corriger le code.</t>
  </si>
  <si>
    <t>À chaque nouvelle fonctionnalité</t>
  </si>
  <si>
    <t>T-05</t>
  </si>
  <si>
    <t>Violation de la vie privée, perte de confiance</t>
  </si>
  <si>
    <t>T-06</t>
  </si>
  <si>
    <t>10 Élevé</t>
  </si>
  <si>
    <t>Si perte : restaurer la dernière version stable.</t>
  </si>
  <si>
    <t>Hebdomadaire</t>
  </si>
  <si>
    <t>T-07</t>
  </si>
  <si>
    <t>Surcharge du site (pic de trafic lors d’un événement)</t>
  </si>
  <si>
    <t>Ralentissements, bugs d’affichage, erreurs 500</t>
  </si>
  <si>
    <t>Optimiser le poids des images, compresser les fichiers, tester le site avant la soutenance.</t>
  </si>
  <si>
    <t>Si le site rame : désactiver temporairement certaines sections lourdes (cartes, images HD).</t>
  </si>
  <si>
    <t>T-08</t>
  </si>
  <si>
    <t>Fuite d’informations sensibles (clés API, mots de passe)</t>
  </si>
  <si>
    <t>Piratage, spam, perte d’accès aux services liés</t>
  </si>
  <si>
    <t>Stocker les identifiants dans un fichier .env local non publié, ne jamais les mettre sur GitHub, limiter les accès.</t>
  </si>
  <si>
    <t>Si fuite : régénérer les clés API, changer les mots de passe, supprimer les anciennes versions.</t>
  </si>
  <si>
    <t>Après chaque mise en ligne</t>
  </si>
  <si>
    <t>T-09</t>
  </si>
  <si>
    <t>9 Moyen</t>
  </si>
  <si>
    <t>Non-conformité accessibilité (texte illisible, navigation difficile)</t>
  </si>
  <si>
    <t>Mauvaise expérience utilisateur, exclusion de certains visiteurs</t>
  </si>
  <si>
    <t>Vérifier le contraste des couleurs, la taille du texte, l’ajout de balises “alt” sur les images, test clavier.</t>
  </si>
  <si>
    <t>Corriger le design si problèmes signalés (texte trop petit, boutons invisibles).</t>
  </si>
  <si>
    <t>Avant chaque rendu ou mise à jour</t>
  </si>
  <si>
    <t>B. Sécurité &amp; Vie privée (inclut Newsletter &amp; Favoris)</t>
  </si>
  <si>
    <t>Mesures préventives</t>
  </si>
  <si>
    <t>Détection / Réaction</t>
  </si>
  <si>
    <t>Fréq.</t>
  </si>
  <si>
    <t>P-01</t>
  </si>
  <si>
    <t>P-02</t>
  </si>
  <si>
    <t>Absence de lien de désinscription dans la newsletter</t>
  </si>
  <si>
    <t>Risque de plainte CNIL, mauvaise image du site</t>
  </si>
  <si>
    <t>Intégrer un lien “Se désabonner” dans chaque email, tester son bon fonctionnement.</t>
  </si>
  <si>
    <t>Si problème : arrêt temporaire des envois, correction du lien, informer les abonnés.</t>
  </si>
  <si>
    <t>Mensuel</t>
  </si>
  <si>
    <t>P-03</t>
  </si>
  <si>
    <t>Personnalisation incorrecte des emails (mauvais prénom, oubli, erreur)</t>
  </si>
  <si>
    <t>Impression de spam, perte de confiance des abonnés</t>
  </si>
  <si>
    <t>Stocker les prénoms dans une base simple et vérifier leur format, prévoir un message neutre si le prénom est manquant (“Bonjour à toi !”).</t>
  </si>
  <si>
    <t>Corriger les erreurs dans la base, vérifier avant chaque envoi massif.</t>
  </si>
  <si>
    <t>P-04</t>
  </si>
  <si>
    <t>Conservation excessive des données utilisateurs (newsletter ou comptes inactifs)</t>
  </si>
  <si>
    <t>Non-respect du principe de minimisation RGPD</t>
  </si>
  <si>
    <t>Nettoyage manuel régulier de la base de données, vérification des doublons.</t>
  </si>
  <si>
    <t>Trimestriel</t>
  </si>
  <si>
    <t>P-05</t>
  </si>
  <si>
    <t>Annuel</t>
  </si>
  <si>
    <t>P-06</t>
  </si>
  <si>
    <t>Utilisation d’un outil d’emailing non conforme (hors UE ou non sécurisé)</t>
  </si>
  <si>
    <t>Transfert de données hors UE, non-conformité RGPD</t>
  </si>
  <si>
    <t>Utiliser un prestataire européen (Brevo) pour envoyer les newsletters.</t>
  </si>
  <si>
    <t>Si non-conformité détectée : basculer vers un autre prestataire, informer les abonnés.</t>
  </si>
  <si>
    <t>P-07</t>
  </si>
  <si>
    <t>Absence de gestion des droits RGPD (accès, suppression, modification)</t>
  </si>
  <si>
    <t>Risque de plainte utilisateur ou CNIL</t>
  </si>
  <si>
    <t>Créer une adresse simple “contact@...” pour que les utilisateurs puissent demander la suppression ou l’accès à leurs données.</t>
  </si>
  <si>
    <t>P-08</t>
  </si>
  <si>
    <t>P-09</t>
  </si>
  <si>
    <t>Favoris visibles par d’autres utilisateurs (mauvaise gestion d’accès)</t>
  </si>
  <si>
    <t>Favoris privés par défaut, pas de lien public.</t>
  </si>
  <si>
    <t>Tester les accès après chaque mise à jour du code, corriger toute faille détectée.</t>
  </si>
  <si>
    <t>P-10</t>
  </si>
  <si>
    <t>Absence de politique de confidentialité claire sur le site</t>
  </si>
  <si>
    <t>Non-transparence vis-à-vis des utilisateurs</t>
  </si>
  <si>
    <t>Rédiger une page “Politique de confidentialité” claire, simple et visible (données collectées, droits, contact).</t>
  </si>
  <si>
    <t>Ajouter ou corriger la page si absence ou erreur, communiquer sur la mise à jour.</t>
  </si>
  <si>
    <t>Logs ou fichiers de suivi contenant des informations personnelles</t>
  </si>
  <si>
    <t>Risque de fuite indirecte (ex : adresses mail dans les journaux d’erreurs)</t>
  </si>
  <si>
    <t>Éviter d’enregistrer des données sensibles dans les journaux, anonymiser les logs.</t>
  </si>
  <si>
    <t>Supprimer les logs trop détaillés ou anciens, nettoyer les serveurs.</t>
  </si>
  <si>
    <t>Création de comptes par des mineurs (moins de 16 ans)</t>
  </si>
  <si>
    <t>Non-conformité RGPD, risque légal</t>
  </si>
  <si>
    <t>Supprimer les comptes non conformes si détectés.</t>
  </si>
  <si>
    <t xml:space="preserve">C. Juridique / Contenus / Communauté </t>
  </si>
  <si>
    <t>Risque</t>
  </si>
  <si>
    <t>Niv.</t>
  </si>
  <si>
    <t>Prévention</t>
  </si>
  <si>
    <t>Revue</t>
  </si>
  <si>
    <t>L-01</t>
  </si>
  <si>
    <t>Utilisation d’images, logos ou textes sans droits</t>
  </si>
  <si>
    <t>Retrait du contenu, plainte pour violation de droits d’auteur, mauvaise image</t>
  </si>
  <si>
    <t>Utiliser uniquement des images libres de droit (Unsplash, Pexels, Pixabay), ou celles créées par l’équipe. Mentionner les crédits sous les images.</t>
  </si>
  <si>
    <t>Supprimer immédiatement le contenu litigieux, remplacer par une image libre de droit, informer la personne concernée.</t>
  </si>
  <si>
    <t>L-02</t>
  </si>
  <si>
    <t>Publication d’avis ou commentaires inappropriés (diffamatoires, racistes, insultants)</t>
  </si>
  <si>
    <t>Responsabilité légale du site, atteinte à la réputation</t>
  </si>
  <si>
    <t>Rédiger une charte de la communauté (respect, tolérance, interdiction de propos offensants). Prévoir un bouton “signaler un contenu”, appliquer une modération avant chaque publication de commentaire.</t>
  </si>
  <si>
    <t>Supprimer le commentaire sous 24-48h, avertir l’utilisateur, conserver une trace de la modération.</t>
  </si>
  <si>
    <t>L-3</t>
  </si>
  <si>
    <t>Informations erronées (prix, adresses, horaires, lieux fermés)</t>
  </si>
  <si>
    <t>Perte de crédibilité, insatisfaction utilisateur</t>
  </si>
  <si>
    <t>Vérifier les sources avant publication, indiquer la date de dernière mise à jour, éviter les affirmations non vérifiées.</t>
  </si>
  <si>
    <t>Corriger rapidement, afficher “Mise à jour en cours” sur la page concernée.</t>
  </si>
  <si>
    <t>L-04</t>
  </si>
  <si>
    <t>Corriger les informations, publier un message de rectification.</t>
  </si>
  <si>
    <t>L-05</t>
  </si>
  <si>
    <t>Absence d’avertissement pour certaines activités (danger, fermeture, météo)</t>
  </si>
  <si>
    <t xml:space="preserve">Mise en cause du site en cas d’incident, perte de crédibilité du site </t>
  </si>
  <si>
    <t>Ajouter un disclaimer sur les pages concernées : “Vérifiez les horaires, la météo et les conditions avant votre visite.”</t>
  </si>
  <si>
    <t>Ajout ou correction de l’avertissement, notifier l’équipe si signalement.</t>
  </si>
  <si>
    <t>L-06</t>
  </si>
  <si>
    <t>Manque de transparence sur les liens ou partenariats (affiliation, réductions, sponsors)</t>
  </si>
  <si>
    <t>Risque de sanction pour publicité dissimulée, perte de confiance des utilisateurs</t>
  </si>
  <si>
    <t>6 Moyen</t>
  </si>
  <si>
    <t>Si un jour il y a des partenaires, indiquer clairement “Lien partenaire” ou “Offre sponsorisée”.</t>
  </si>
  <si>
    <t>Ajout de la mention manquante sur la page, informer les utilisateurs.</t>
  </si>
  <si>
    <t>L-07</t>
  </si>
  <si>
    <t>Non-conformité légale, retrait possible du site</t>
  </si>
  <si>
    <t>Ajouter la page immédiatement si oubli, vérifier qu’elle reste accessible depuis le pied de page.</t>
  </si>
  <si>
    <t>L-08</t>
  </si>
  <si>
    <t>Conflits ou incompréhensions sur les règles d’usage du site</t>
  </si>
  <si>
    <t>Rédiger une page CGU simple (utilisation, interdictions, limites de responsabilité).</t>
  </si>
  <si>
    <t>Ajouter ou corriger la page, informer les utilisateurs si changements.</t>
  </si>
  <si>
    <t>Semestriel</t>
  </si>
  <si>
    <t>L-09</t>
  </si>
  <si>
    <t>Non-respect du droit à la modération (absence de procédure de signalement)</t>
  </si>
  <si>
    <t>Risque de laisser des propos illégaux ou sensibles</t>
  </si>
  <si>
    <t>Intégrer un bouton “Signaler un abus” sur les pages avec commentaires ou avis.</t>
  </si>
  <si>
    <t>Supprimer le contenu en moins de 48h après modération, garder une trace des signalements.</t>
  </si>
  <si>
    <t>D. Opérationnel &amp; Organisation</t>
  </si>
  <si>
    <t>O-01</t>
  </si>
  <si>
    <t>Rôles flous / SPOF (un seul développeur)</t>
  </si>
  <si>
    <t>Retards, surcharge de travail, dette technique</t>
  </si>
  <si>
    <t>Définir les rôles avec un tableau RACI (qui fait quoi), documenter les procédures, faire en sorte que chaque tâche puisse être reprise par un autre membre (“bus factor ≥ 2”).</t>
  </si>
  <si>
    <t>Suivre les jalons du projet, redistribuer les tâches en cas d’absence ou de surcharge.</t>
  </si>
  <si>
    <t>O-02</t>
  </si>
  <si>
    <t>Calendrier éditorial non respecté</t>
  </si>
  <si>
    <t>Contenus obsolètes, manque de régularité</t>
  </si>
  <si>
    <t>Tenir un planning de publication avec “owner” par ville / sujet, prévoir un backlog (liste de contenus à venir).</t>
  </si>
  <si>
    <t>Recevoir une alerte si un contenu n’a pas été mis à jour depuis &gt;90 jours, faire une rotation entre membres pour publication.</t>
  </si>
  <si>
    <t>O-03</t>
  </si>
  <si>
    <t>Absence de plan d’incident</t>
  </si>
  <si>
    <t>Réactions désorganisées en cas de bug ou panne</t>
  </si>
  <si>
    <t>Rédiger un petit plan d’incident (“runbook”) précisant les rôles et étapes en cas de problème technique.</t>
  </si>
  <si>
    <t>Faire un post-mortem après incident (analyse de ce qui s’est passé), corriger pour éviter que ça se reproduise.</t>
  </si>
  <si>
    <t>O-04</t>
  </si>
  <si>
    <t>Vendor lock-in (dépendance à un seul outil externe : emailing, cartes, etc.)</t>
  </si>
  <si>
    <t>Difficulté à changer d’outil si panne ou coût elevé</t>
  </si>
  <si>
    <t>Choisir des outils avec réversibilité (export possible des données) et prévoir une alternative si un service tombe (ex. OpenStreetMap si Google Maps HS).</t>
  </si>
  <si>
    <t>Tester un plan de bascule au moins une fois (changer temporairement d’outil pour voir si tout fonctionne).</t>
  </si>
  <si>
    <t>O-05</t>
  </si>
  <si>
    <t>Budget campagnes email non maîtrisé</t>
  </si>
  <si>
    <t>Perte financière si trop d’envois sans résultat</t>
  </si>
  <si>
    <t>Suivre des KPI simples : taux de clic (CTR)…, limiter les envois mensuels.</t>
  </si>
  <si>
    <t>Si coût excessif → faire pause dans les envois, réduire la fréquence, revoir le ciblage.</t>
  </si>
  <si>
    <t>O-06</t>
  </si>
  <si>
    <t>Examens / périodes chargées (disponibilité limitée)</t>
  </si>
  <si>
    <t>Retards dans la roadmap ou livraison du site</t>
  </si>
  <si>
    <t>Prévoir des sprints “light” pendant les semaines d’examens, répartir les tâches selon les disponibilités.</t>
  </si>
  <si>
    <t>Reprioriser rapidement les objectifs, reporter les tâches non urgentes.</t>
  </si>
  <si>
    <t>E. Qualité des données &amp; UX</t>
  </si>
  <si>
    <t>Q-01</t>
  </si>
  <si>
    <t>Adresses/itinéraires imprécis</t>
  </si>
  <si>
    <t>Mauvaise expérience utilisateur, perte de crédibilité</t>
  </si>
  <si>
    <t>Vérifier systématiquement les adresses et horaires sur des sources fiables (Google Maps, sites officiels). Intégrer une carte embarquée pour éviter les erreurs.</t>
  </si>
  <si>
    <t>Ajouter un bouton “Signaler une erreur” pour que les utilisateurs puissent remonter les problèmes. Corriger dans la semaine.</t>
  </si>
  <si>
    <t>Q-02</t>
  </si>
  <si>
    <t>Q-03</t>
  </si>
  <si>
    <t>Traductions approximatives (pour les destinations européennes)</t>
  </si>
  <si>
    <t>Confusion, perte de crédibilité</t>
  </si>
  <si>
    <t>4 Faible</t>
  </si>
  <si>
    <t>Créer un glossaire interne (vocabulaire cohérent pour les pages multilingues). Relire les textes avant mise en ligne.</t>
  </si>
  <si>
    <t>Corriger les fautes ou imprécisions grâce aux retours de la communauté ou d’un membre bilingue.</t>
  </si>
  <si>
    <t>Q-04</t>
  </si>
  <si>
    <t>SEO dégradé (contenu dupliqué, IA, ou manque de structure)</t>
  </si>
  <si>
    <t>Chute du trafic sur le site, mauvaise visibilité Google</t>
  </si>
  <si>
    <t>Optimiser les pages avec des balises canonical, un maillage interne cohérent, et appliquer la logique E-E-A-T (Expertise, Expérience, Autorité, Fiabilité).</t>
  </si>
  <si>
    <t>Nettoyer les contenus dupliqués, mettre en place des redirections et vérifier l’indexation dans la Search Console.</t>
  </si>
  <si>
    <t>F. Emailing &amp; Délivrabilité (Newsletter)</t>
  </si>
  <si>
    <t>M-01</t>
  </si>
  <si>
    <t>SPF / DKIM / DMARC absents</t>
  </si>
  <si>
    <t>Emails bloqués ou envoyés dans le dossier spam</t>
  </si>
  <si>
    <t>Configurer les enregistrements DNS (SPF, DKIM, DMARC) avec test avant envoi. Ces protocoles valident l’identité de l’expéditeur.</t>
  </si>
  <si>
    <t>Tester régulièrement le score spam (MailTester, GlockApps), corriger les erreurs DNS si blocage.</t>
  </si>
  <si>
    <t>M-02</t>
  </si>
  <si>
    <t>Taux de spam et désabonnements élevés</t>
  </si>
  <si>
    <t>Baisse du score de réputation du domaine, perte d’abonnés</t>
  </si>
  <si>
    <t>Envoyer à une fréquence modérée, avec du contenu pertinent et clair. Nettoyer la liste d’abonnés (suppression des adresses inactives).</t>
  </si>
  <si>
    <t>En cas de chute d’engagement : pause des envois, mise à jour des listes, demande de re-optin (nouvelle confirmation d’abonnement).</t>
  </si>
  <si>
    <t>M-03</t>
  </si>
  <si>
    <t>Bounces non gérés (emails retournés non livrés)</t>
  </si>
  <si>
    <t>Risque de blacklist par les fournisseurs de messagerie</t>
  </si>
  <si>
    <t>Activer le bounce handling automatique (distinction entre “hard bounce” = adresse invalide, et “soft bounce” = boîte pleine).</t>
  </si>
  <si>
    <t>Supprimer les adresses invalides.</t>
  </si>
  <si>
    <t>M-04</t>
  </si>
  <si>
    <t>Sur-personnalisation des emails (segments trop précis)</t>
  </si>
  <si>
    <t>Sentiment d’intrusion, perte de confiance</t>
  </si>
  <si>
    <t>Appliquer le principe de minimisation : ne collecter que les données nécessaires (email, prénom). Personnalisation légère uniquement, favoriser la relation de proximité avec un langage courant.</t>
  </si>
  <si>
    <t>Réduire les variables utilisées dans les emails et expliquer clairement la logique de personnalisation dans la politique vie privée.</t>
  </si>
  <si>
    <t xml:space="preserve">GRILLE DE SCORING </t>
  </si>
  <si>
    <t>Échelle</t>
  </si>
  <si>
    <t>Probabilité (P)</t>
  </si>
  <si>
    <t>Gravité / Impact (G)</t>
  </si>
  <si>
    <t>Très peu probable (≤1 fois/an)</t>
  </si>
  <si>
    <t>Impact mineur (inconfort UX)</t>
  </si>
  <si>
    <t>Peu probable</t>
  </si>
  <si>
    <t>Impact limité (petit incident)</t>
  </si>
  <si>
    <t>Possible</t>
  </si>
  <si>
    <t>Impact notable (fonction dégradée, plainte ponctuelle)</t>
  </si>
  <si>
    <t>Probable</t>
  </si>
  <si>
    <t>Impact élevé (interruption service, plainte CNIL potentielle)</t>
  </si>
  <si>
    <t>Très probable / récurrent</t>
  </si>
  <si>
    <t>Impact critique (data breach, mise en cause juridique, forte perte d’image)</t>
  </si>
  <si>
    <r>
      <rPr>
        <b/>
        <sz val="11"/>
        <color indexed="8"/>
        <rFont val="Aptos Narrow"/>
      </rPr>
      <t>Niveau de risque = P × G</t>
    </r>
    <r>
      <rPr>
        <sz val="11"/>
        <color indexed="8"/>
        <rFont val="Aptos Narrow"/>
      </rPr>
      <t xml:space="preserve"> → Seuils : </t>
    </r>
    <r>
      <rPr>
        <b/>
        <sz val="11"/>
        <color indexed="8"/>
        <rFont val="Aptos Narrow"/>
      </rPr>
      <t>1–4 faible</t>
    </r>
    <r>
      <rPr>
        <sz val="11"/>
        <color indexed="8"/>
        <rFont val="Aptos Narrow"/>
      </rPr>
      <t xml:space="preserve">, </t>
    </r>
    <r>
      <rPr>
        <b/>
        <sz val="11"/>
        <color indexed="8"/>
        <rFont val="Aptos Narrow"/>
      </rPr>
      <t>5–9 moyen</t>
    </r>
    <r>
      <rPr>
        <sz val="11"/>
        <color indexed="8"/>
        <rFont val="Aptos Narrow"/>
      </rPr>
      <t xml:space="preserve">, </t>
    </r>
    <r>
      <rPr>
        <b/>
        <sz val="11"/>
        <color indexed="8"/>
        <rFont val="Aptos Narrow"/>
      </rPr>
      <t>10–16 élevé</t>
    </r>
    <r>
      <rPr>
        <sz val="11"/>
        <color indexed="8"/>
        <rFont val="Aptos Narrow"/>
      </rPr>
      <t xml:space="preserve">, </t>
    </r>
    <r>
      <rPr>
        <b/>
        <sz val="11"/>
        <color indexed="8"/>
        <rFont val="Aptos Narrow"/>
      </rPr>
      <t>17–25 critique</t>
    </r>
    <r>
      <rPr>
        <sz val="11"/>
        <color indexed="8"/>
        <rFont val="Aptos Narrow"/>
      </rPr>
      <t>.</t>
    </r>
  </si>
  <si>
    <r>
      <rPr>
        <b/>
        <sz val="18"/>
        <color indexed="8"/>
        <rFont val="Aptos Narrow"/>
      </rPr>
      <t xml:space="preserve">Mini-registre RGPD – </t>
    </r>
    <r>
      <rPr>
        <b/>
        <sz val="11"/>
        <color indexed="8"/>
        <rFont val="Aptos Narrow"/>
      </rPr>
      <t>Newsletter &amp; Favoris</t>
    </r>
  </si>
  <si>
    <t>Traitement A — Newsletter (emails + prénom pour personnalisation)</t>
  </si>
  <si>
    <t>Finalité :</t>
  </si>
  <si>
    <t>Envoi d’emails d’information et de bons plans personnalisés (salutation “Bonjour {Prénom}”).</t>
  </si>
  <si>
    <t>Base légale :</t>
  </si>
  <si>
    <r>
      <rPr>
        <sz val="11"/>
        <color indexed="8"/>
        <rFont val="Aptos Narrow"/>
      </rPr>
      <t xml:space="preserve">Consentement — </t>
    </r>
    <r>
      <rPr>
        <i/>
        <sz val="11"/>
        <color indexed="8"/>
        <rFont val="Aptos Narrow"/>
      </rPr>
      <t>article 6(1)(a) du RGPD</t>
    </r>
    <r>
      <rPr>
        <sz val="11"/>
        <color indexed="8"/>
        <rFont val="Aptos Narrow"/>
      </rPr>
      <t xml:space="preserve">, via </t>
    </r>
    <r>
      <rPr>
        <b/>
        <sz val="11"/>
        <color indexed="8"/>
        <rFont val="Aptos Narrow"/>
      </rPr>
      <t>double opt-in</t>
    </r>
    <r>
      <rPr>
        <sz val="11"/>
        <color indexed="8"/>
        <rFont val="Aptos Narrow"/>
      </rPr>
      <t xml:space="preserve"> (confirmation par email après inscription).</t>
    </r>
  </si>
  <si>
    <t>Données traitées :</t>
  </si>
  <si>
    <r>
      <rPr>
        <sz val="11"/>
        <color indexed="8"/>
        <rFont val="Aptos Narrow"/>
      </rPr>
      <t xml:space="preserve">Email </t>
    </r>
    <r>
      <rPr>
        <i/>
        <sz val="11"/>
        <color indexed="8"/>
        <rFont val="Aptos Narrow"/>
      </rPr>
      <t>(obligatoire)</t>
    </r>
  </si>
  <si>
    <r>
      <rPr>
        <sz val="11"/>
        <color indexed="8"/>
        <rFont val="Aptos Narrow"/>
      </rPr>
      <t xml:space="preserve">Prénom </t>
    </r>
    <r>
      <rPr>
        <i/>
        <sz val="11"/>
        <color indexed="8"/>
        <rFont val="Aptos Narrow"/>
      </rPr>
      <t>(facultatif mais recommandé pour la personnalisation)</t>
    </r>
  </si>
  <si>
    <t>Aucune donnée sensible collectée.</t>
  </si>
  <si>
    <t>Provenance :</t>
  </si>
  <si>
    <t>Formulaires d’inscription intégrés sur le site.</t>
  </si>
  <si>
    <t>Responsable désigné :</t>
  </si>
  <si>
    <t>Une personne désignée (référente “communication / envoi newsletter”).</t>
  </si>
  <si>
    <t>Sous-traitants :</t>
  </si>
  <si>
    <t>Prestataire emailing européen (ex. Brevo, Mailjet).</t>
  </si>
  <si>
    <t>Transferts hors UE :</t>
  </si>
  <si>
    <t>Non — uniquement via prestataire basé dans l’Union européenne.</t>
  </si>
  <si>
    <t>Durée de conservation :</t>
  </si>
  <si>
    <t>Jusqu’à désinscription ou inactivité prolongée.</t>
  </si>
  <si>
    <r>
      <rPr>
        <sz val="11"/>
        <color indexed="8"/>
        <rFont val="Aptos Narrow"/>
      </rPr>
      <t xml:space="preserve">Purge automatique </t>
    </r>
    <r>
      <rPr>
        <b/>
        <sz val="11"/>
        <color indexed="8"/>
        <rFont val="Aptos Narrow"/>
      </rPr>
      <t>3 ans après le dernier contact</t>
    </r>
    <r>
      <rPr>
        <sz val="11"/>
        <color indexed="8"/>
        <rFont val="Aptos Narrow"/>
      </rPr>
      <t xml:space="preserve"> ou </t>
    </r>
    <r>
      <rPr>
        <b/>
        <sz val="11"/>
        <color indexed="8"/>
        <rFont val="Aptos Narrow"/>
      </rPr>
      <t>immédiate en cas de désinscription</t>
    </r>
    <r>
      <rPr>
        <sz val="11"/>
        <color indexed="8"/>
        <rFont val="Aptos Narrow"/>
      </rPr>
      <t>.</t>
    </r>
  </si>
  <si>
    <t>Mesures de sécurité :</t>
  </si>
  <si>
    <t>Chiffrement des données au repos et en transit (TLS 1.3)</t>
  </si>
  <si>
    <t>Journalisation du consentement (date + IP)</t>
  </si>
  <si>
    <t>Liens de désinscription 1-clic</t>
  </si>
  <si>
    <r>
      <rPr>
        <sz val="11"/>
        <color indexed="8"/>
        <rFont val="Aptos Narrow"/>
      </rPr>
      <t xml:space="preserve">Authentification d’envoi : </t>
    </r>
    <r>
      <rPr>
        <b/>
        <sz val="11"/>
        <color indexed="8"/>
        <rFont val="Aptos Narrow"/>
      </rPr>
      <t>SPF / DKIM / DMARC</t>
    </r>
  </si>
  <si>
    <t>Accès limité à la personne désignée uniquement</t>
  </si>
  <si>
    <t>Droits des personnes :</t>
  </si>
  <si>
    <t>Accès, rectification, suppression, opposition (art. 15 à 22 RGPD)</t>
  </si>
  <si>
    <t>→ via le lien en pied d’email ou la page “Mes données”.</t>
  </si>
  <si>
    <t>Analyse d’impact (DPIA) :</t>
  </si>
  <si>
    <t>Non nécessaire (faible volume, pas de données sensibles, pas de profilage massif).</t>
  </si>
  <si>
    <r>
      <rPr>
        <sz val="11"/>
        <color indexed="8"/>
        <rFont val="Aptos Narrow"/>
      </rPr>
      <t xml:space="preserve">À réévaluer si la base dépasse </t>
    </r>
    <r>
      <rPr>
        <b/>
        <sz val="11"/>
        <color indexed="8"/>
        <rFont val="Aptos Narrow"/>
      </rPr>
      <t>10 000 abonnés</t>
    </r>
    <r>
      <rPr>
        <sz val="11"/>
        <color indexed="8"/>
        <rFont val="Aptos Narrow"/>
      </rPr>
      <t>.</t>
    </r>
  </si>
  <si>
    <t>Note UX :</t>
  </si>
  <si>
    <t>Si le prénom n’est pas renseigné → message neutre : “Bonjour”.</t>
  </si>
  <si>
    <t>Traitement B — Comptes &amp; Favoris (sauvegarde des itinéraires et activités)</t>
  </si>
  <si>
    <t>Permettre aux utilisateurs de créer un compte et d’enregistrer leurs favoris (itinéraires, activités, journées types).</t>
  </si>
  <si>
    <r>
      <rPr>
        <i/>
        <sz val="11"/>
        <color indexed="8"/>
        <rFont val="Aptos Narrow"/>
      </rPr>
      <t>Article 6(1)(b)</t>
    </r>
    <r>
      <rPr>
        <sz val="11"/>
        <color indexed="8"/>
        <rFont val="Aptos Narrow"/>
      </rPr>
      <t xml:space="preserve"> — exécution du contrat / CGU</t>
    </r>
  </si>
  <si>
    <r>
      <rPr>
        <i/>
        <sz val="11"/>
        <color indexed="8"/>
        <rFont val="Aptos Narrow"/>
      </rPr>
      <t>Article 6(1)(f)</t>
    </r>
    <r>
      <rPr>
        <sz val="11"/>
        <color indexed="8"/>
        <rFont val="Aptos Narrow"/>
      </rPr>
      <t xml:space="preserve"> — intérêt légitime du responsable pour assurer la sécurité et le bon fonctionnement</t>
    </r>
  </si>
  <si>
    <t>Email (identifiant de connexion)</t>
  </si>
  <si>
    <r>
      <rPr>
        <sz val="11"/>
        <color indexed="8"/>
        <rFont val="Aptos Narrow"/>
      </rPr>
      <t xml:space="preserve">Mot de passe </t>
    </r>
    <r>
      <rPr>
        <i/>
        <sz val="11"/>
        <color indexed="8"/>
        <rFont val="Aptos Narrow"/>
      </rPr>
      <t>(haché via bcrypt ou argon2)</t>
    </r>
  </si>
  <si>
    <r>
      <rPr>
        <sz val="11"/>
        <color indexed="8"/>
        <rFont val="Aptos Narrow"/>
      </rPr>
      <t xml:space="preserve">Liste de favoris </t>
    </r>
    <r>
      <rPr>
        <i/>
        <sz val="11"/>
        <color indexed="8"/>
        <rFont val="Aptos Narrow"/>
      </rPr>
      <t>(titre, ville, ID, date)</t>
    </r>
  </si>
  <si>
    <t>Horodatage des connexions</t>
  </si>
  <si>
    <t>Paramètres de confidentialité :</t>
  </si>
  <si>
    <r>
      <rPr>
        <sz val="11"/>
        <color indexed="8"/>
        <rFont val="Aptos Narrow"/>
      </rPr>
      <t xml:space="preserve">Favoris </t>
    </r>
    <r>
      <rPr>
        <b/>
        <sz val="11"/>
        <color indexed="8"/>
        <rFont val="Aptos Narrow"/>
      </rPr>
      <t>privés par défaut</t>
    </r>
  </si>
  <si>
    <r>
      <rPr>
        <sz val="11"/>
        <color indexed="8"/>
        <rFont val="Aptos Narrow"/>
      </rPr>
      <t xml:space="preserve">Partage public uniquement sur </t>
    </r>
    <r>
      <rPr>
        <b/>
        <sz val="11"/>
        <color indexed="8"/>
        <rFont val="Aptos Narrow"/>
      </rPr>
      <t>opt-in explicite</t>
    </r>
    <r>
      <rPr>
        <sz val="11"/>
        <color indexed="8"/>
        <rFont val="Aptos Narrow"/>
      </rPr>
      <t xml:space="preserve"> (case à cocher volontaire)</t>
    </r>
  </si>
  <si>
    <t>Une personne référente “technique / gestion du site”.</t>
  </si>
  <si>
    <t>Aucun tiers. Hébergement et traitement des données internes au site (hébergeur UE).</t>
  </si>
  <si>
    <t>Non.</t>
  </si>
  <si>
    <t>Compte actif : données conservées.</t>
  </si>
  <si>
    <r>
      <rPr>
        <sz val="11"/>
        <color indexed="8"/>
        <rFont val="Aptos Narrow"/>
      </rPr>
      <t xml:space="preserve">Suppression </t>
    </r>
    <r>
      <rPr>
        <b/>
        <sz val="11"/>
        <color indexed="8"/>
        <rFont val="Aptos Narrow"/>
      </rPr>
      <t>24 mois après la dernière connexion</t>
    </r>
    <r>
      <rPr>
        <sz val="11"/>
        <color indexed="8"/>
        <rFont val="Aptos Narrow"/>
      </rPr>
      <t>, avec pré-alerte 30 jours avant suppression.</t>
    </r>
  </si>
  <si>
    <r>
      <rPr>
        <sz val="11"/>
        <color indexed="8"/>
        <rFont val="Aptos Narrow"/>
      </rPr>
      <t xml:space="preserve">Sauvegardes limitées à </t>
    </r>
    <r>
      <rPr>
        <b/>
        <sz val="11"/>
        <color indexed="8"/>
        <rFont val="Aptos Narrow"/>
      </rPr>
      <t>30–90 jours</t>
    </r>
    <r>
      <rPr>
        <sz val="11"/>
        <color indexed="8"/>
        <rFont val="Aptos Narrow"/>
      </rPr>
      <t xml:space="preserve"> maximum.</t>
    </r>
  </si>
  <si>
    <t>Hachage des mots de passe (bcrypt/argon2)</t>
  </si>
  <si>
    <t>HTTPS (TLS 1.3)</t>
  </si>
  <si>
    <t>Chiffrement au repos</t>
  </si>
  <si>
    <t>Contrôle d’accès strict (ACL)</t>
  </si>
  <si>
    <t>Journal d’accès pseudonymisé</t>
  </si>
  <si>
    <t>Aucun stockage de localisation GPS ou données sensibles.</t>
  </si>
  <si>
    <t>Export JSON/CSV, suppression du compte ou des favoris à tout moment.</t>
  </si>
  <si>
    <t>Délai de réponse : 30 jours maximum.</t>
  </si>
  <si>
    <t>Non requise à ce stade.</t>
  </si>
  <si>
    <t>Réévaluer en cas d’évolution majeure (ex. &gt;100 000 comptes ou intégration de géolocalisation).</t>
  </si>
  <si>
    <t>Contrôles clés &amp; Plan d’action 30 jours</t>
  </si>
  <si>
    <t>Catégorie</t>
  </si>
  <si>
    <t>Éléments de contrôle</t>
  </si>
  <si>
    <t>Consentement &amp; données</t>
  </si>
  <si>
    <r>
      <rPr>
        <sz val="11"/>
        <color indexed="8"/>
        <rFont val="Aptos Narrow"/>
      </rPr>
      <t xml:space="preserve">- </t>
    </r>
    <r>
      <rPr>
        <b/>
        <sz val="11"/>
        <color indexed="8"/>
        <rFont val="Aptos Narrow"/>
      </rPr>
      <t>CMP cookies</t>
    </r>
    <r>
      <rPr>
        <sz val="11"/>
        <color indexed="8"/>
        <rFont val="Aptos Narrow"/>
      </rPr>
      <t xml:space="preserve"> conforme (refus par défaut, consentement granulaire).</t>
    </r>
  </si>
  <si>
    <r>
      <rPr>
        <sz val="11"/>
        <color indexed="8"/>
        <rFont val="Aptos Narrow"/>
      </rPr>
      <t xml:space="preserve">- </t>
    </r>
    <r>
      <rPr>
        <b/>
        <sz val="11"/>
        <color indexed="8"/>
        <rFont val="Aptos Narrow"/>
      </rPr>
      <t>Double opt-in</t>
    </r>
    <r>
      <rPr>
        <sz val="11"/>
        <color indexed="8"/>
        <rFont val="Aptos Narrow"/>
      </rPr>
      <t xml:space="preserve"> newsletter activé + preuve du consentement enregistrée.</t>
    </r>
  </si>
  <si>
    <r>
      <rPr>
        <sz val="11"/>
        <color indexed="8"/>
        <rFont val="Aptos Narrow"/>
      </rPr>
      <t xml:space="preserve">- </t>
    </r>
    <r>
      <rPr>
        <b/>
        <sz val="11"/>
        <color indexed="8"/>
        <rFont val="Aptos Narrow"/>
      </rPr>
      <t>Lien de désinscription 1-clic</t>
    </r>
    <r>
      <rPr>
        <sz val="11"/>
        <color indexed="8"/>
        <rFont val="Aptos Narrow"/>
      </rPr>
      <t xml:space="preserve"> fonctionnel sur tous les emails.</t>
    </r>
  </si>
  <si>
    <t>Emailing &amp; sécurité</t>
  </si>
  <si>
    <r>
      <rPr>
        <sz val="11"/>
        <color indexed="8"/>
        <rFont val="Aptos Narrow"/>
      </rPr>
      <t xml:space="preserve">- </t>
    </r>
    <r>
      <rPr>
        <b/>
        <sz val="11"/>
        <color indexed="8"/>
        <rFont val="Aptos Narrow"/>
      </rPr>
      <t>SPF / DKIM / DMARC</t>
    </r>
    <r>
      <rPr>
        <sz val="11"/>
        <color indexed="8"/>
        <rFont val="Aptos Narrow"/>
      </rPr>
      <t xml:space="preserve"> configurés + test de délivrabilité réussi.</t>
    </r>
  </si>
  <si>
    <t>- Aucun transfert hors UE (prestataire emailing européen).</t>
  </si>
  <si>
    <t>Comptes &amp; Favoris</t>
  </si>
  <si>
    <r>
      <rPr>
        <sz val="11"/>
        <color indexed="8"/>
        <rFont val="Aptos Narrow"/>
      </rPr>
      <t xml:space="preserve">- </t>
    </r>
    <r>
      <rPr>
        <b/>
        <sz val="11"/>
        <color indexed="8"/>
        <rFont val="Aptos Narrow"/>
      </rPr>
      <t>Favoris privés par défaut</t>
    </r>
    <r>
      <rPr>
        <sz val="11"/>
        <color indexed="8"/>
        <rFont val="Aptos Narrow"/>
      </rPr>
      <t>, partage public uniquement sur opt-in explicite.</t>
    </r>
  </si>
  <si>
    <r>
      <rPr>
        <sz val="11"/>
        <color indexed="8"/>
        <rFont val="Aptos Narrow"/>
      </rPr>
      <t xml:space="preserve">- </t>
    </r>
    <r>
      <rPr>
        <b/>
        <sz val="11"/>
        <color indexed="8"/>
        <rFont val="Aptos Narrow"/>
      </rPr>
      <t>URLs non devinables</t>
    </r>
    <r>
      <rPr>
        <sz val="11"/>
        <color indexed="8"/>
        <rFont val="Aptos Narrow"/>
      </rPr>
      <t xml:space="preserve"> (hash ou ID aléatoire).</t>
    </r>
  </si>
  <si>
    <t>Accès &amp; journaux</t>
  </si>
  <si>
    <r>
      <rPr>
        <sz val="11"/>
        <color indexed="8"/>
        <rFont val="Aptos Narrow"/>
      </rPr>
      <t xml:space="preserve">- Accès limités à une </t>
    </r>
    <r>
      <rPr>
        <b/>
        <sz val="11"/>
        <color indexed="8"/>
        <rFont val="Aptos Narrow"/>
      </rPr>
      <t>personne désignée</t>
    </r>
    <r>
      <rPr>
        <sz val="11"/>
        <color indexed="8"/>
        <rFont val="Aptos Narrow"/>
      </rPr>
      <t xml:space="preserve"> (principe RBAC simplifié).</t>
    </r>
  </si>
  <si>
    <t>- Journaux d’accès pseudonymisés, sans données personnelles.</t>
  </si>
  <si>
    <t>Sauvegardes &amp; reprise</t>
  </si>
  <si>
    <r>
      <rPr>
        <sz val="11"/>
        <color indexed="8"/>
        <rFont val="Aptos Narrow"/>
      </rPr>
      <t xml:space="preserve">- </t>
    </r>
    <r>
      <rPr>
        <b/>
        <sz val="11"/>
        <color indexed="8"/>
        <rFont val="Aptos Narrow"/>
      </rPr>
      <t>Backups chiffrés</t>
    </r>
    <r>
      <rPr>
        <sz val="11"/>
        <color indexed="8"/>
        <rFont val="Aptos Narrow"/>
      </rPr>
      <t>.</t>
    </r>
  </si>
  <si>
    <r>
      <rPr>
        <sz val="11"/>
        <color indexed="8"/>
        <rFont val="Aptos Narrow"/>
      </rPr>
      <t xml:space="preserve">- </t>
    </r>
    <r>
      <rPr>
        <b/>
        <sz val="11"/>
        <color indexed="8"/>
        <rFont val="Aptos Narrow"/>
      </rPr>
      <t>Test de restauration</t>
    </r>
    <r>
      <rPr>
        <sz val="11"/>
        <color indexed="8"/>
        <rFont val="Aptos Narrow"/>
      </rPr>
      <t xml:space="preserve"> effectué avec succès.</t>
    </r>
  </si>
  <si>
    <t>Sécurité applicative</t>
  </si>
  <si>
    <r>
      <rPr>
        <sz val="11"/>
        <color indexed="8"/>
        <rFont val="Aptos Narrow"/>
      </rPr>
      <t xml:space="preserve">- </t>
    </r>
    <r>
      <rPr>
        <b/>
        <sz val="11"/>
        <color indexed="8"/>
        <rFont val="Aptos Narrow"/>
      </rPr>
      <t>Audit OWASP</t>
    </r>
    <r>
      <rPr>
        <sz val="11"/>
        <color indexed="8"/>
        <rFont val="Aptos Narrow"/>
      </rPr>
      <t xml:space="preserve"> basique (XSS / CSRF / IDOR / SQLi) effectué + correctifs appliqués.</t>
    </r>
  </si>
  <si>
    <t>- Logs d’erreurs vérifiés et anonymisés.</t>
  </si>
  <si>
    <t>Conformité légale &amp; affichage</t>
  </si>
  <si>
    <r>
      <rPr>
        <sz val="11"/>
        <color indexed="8"/>
        <rFont val="Aptos Narrow"/>
      </rPr>
      <t xml:space="preserve">- </t>
    </r>
    <r>
      <rPr>
        <b/>
        <sz val="11"/>
        <color indexed="8"/>
        <rFont val="Aptos Narrow"/>
      </rPr>
      <t>Mentions légales</t>
    </r>
    <r>
      <rPr>
        <sz val="11"/>
        <color indexed="8"/>
        <rFont val="Aptos Narrow"/>
      </rPr>
      <t xml:space="preserve">, </t>
    </r>
    <r>
      <rPr>
        <b/>
        <sz val="11"/>
        <color indexed="8"/>
        <rFont val="Aptos Narrow"/>
      </rPr>
      <t>CGU</t>
    </r>
    <r>
      <rPr>
        <sz val="11"/>
        <color indexed="8"/>
        <rFont val="Aptos Narrow"/>
      </rPr>
      <t xml:space="preserve">, </t>
    </r>
    <r>
      <rPr>
        <b/>
        <sz val="11"/>
        <color indexed="8"/>
        <rFont val="Aptos Narrow"/>
      </rPr>
      <t>Politique de confidentialité</t>
    </r>
    <r>
      <rPr>
        <sz val="11"/>
        <color indexed="8"/>
        <rFont val="Aptos Narrow"/>
      </rPr>
      <t xml:space="preserve">, </t>
    </r>
    <r>
      <rPr>
        <b/>
        <sz val="11"/>
        <color indexed="8"/>
        <rFont val="Aptos Narrow"/>
      </rPr>
      <t>Charte de communauté</t>
    </r>
    <r>
      <rPr>
        <sz val="11"/>
        <color indexed="8"/>
        <rFont val="Aptos Narrow"/>
      </rPr>
      <t xml:space="preserve"> en ligne et accessibles.</t>
    </r>
  </si>
  <si>
    <r>
      <rPr>
        <sz val="11"/>
        <color indexed="8"/>
        <rFont val="Aptos Narrow"/>
      </rPr>
      <t xml:space="preserve">- </t>
    </r>
    <r>
      <rPr>
        <b/>
        <sz val="11"/>
        <color indexed="8"/>
        <rFont val="Aptos Narrow"/>
      </rPr>
      <t>Politique cookies + CMP</t>
    </r>
    <r>
      <rPr>
        <sz val="11"/>
        <color indexed="8"/>
        <rFont val="Aptos Narrow"/>
      </rPr>
      <t xml:space="preserve"> publiée.</t>
    </r>
  </si>
  <si>
    <t>Contenu &amp; fiabilité</t>
  </si>
  <si>
    <r>
      <rPr>
        <sz val="11"/>
        <color indexed="8"/>
        <rFont val="Aptos Narrow"/>
      </rPr>
      <t xml:space="preserve">- </t>
    </r>
    <r>
      <rPr>
        <b/>
        <sz val="11"/>
        <color indexed="8"/>
        <rFont val="Aptos Narrow"/>
      </rPr>
      <t>Disclaimer sécurité</t>
    </r>
    <r>
      <rPr>
        <sz val="11"/>
        <color indexed="8"/>
        <rFont val="Aptos Narrow"/>
      </rPr>
      <t xml:space="preserve"> sur les fiches sensibles (horaires, météo, transports susceptibles de changer).</t>
    </r>
  </si>
  <si>
    <r>
      <rPr>
        <sz val="11"/>
        <color indexed="8"/>
        <rFont val="Aptos Narrow"/>
      </rPr>
      <t xml:space="preserve">- </t>
    </r>
    <r>
      <rPr>
        <b/>
        <sz val="11"/>
        <color indexed="8"/>
        <rFont val="Aptos Narrow"/>
      </rPr>
      <t>Calendrier éditorial</t>
    </r>
    <r>
      <rPr>
        <sz val="11"/>
        <color indexed="8"/>
        <rFont val="Aptos Narrow"/>
      </rPr>
      <t xml:space="preserve"> maintenu avec date de dernière mise à jour sur chaque fiche.</t>
    </r>
  </si>
  <si>
    <t>Accessibilité &amp; UX</t>
  </si>
  <si>
    <r>
      <rPr>
        <sz val="11"/>
        <color indexed="8"/>
        <rFont val="Aptos Narrow"/>
      </rPr>
      <t xml:space="preserve">- Vérification du </t>
    </r>
    <r>
      <rPr>
        <b/>
        <sz val="11"/>
        <color indexed="8"/>
        <rFont val="Aptos Narrow"/>
      </rPr>
      <t>contraste</t>
    </r>
    <r>
      <rPr>
        <sz val="11"/>
        <color indexed="8"/>
        <rFont val="Aptos Narrow"/>
      </rPr>
      <t xml:space="preserve">, </t>
    </r>
    <r>
      <rPr>
        <b/>
        <sz val="11"/>
        <color indexed="8"/>
        <rFont val="Aptos Narrow"/>
      </rPr>
      <t>navigation clavier</t>
    </r>
    <r>
      <rPr>
        <sz val="11"/>
        <color indexed="8"/>
        <rFont val="Aptos Narrow"/>
      </rPr>
      <t xml:space="preserve">, </t>
    </r>
    <r>
      <rPr>
        <b/>
        <sz val="11"/>
        <color indexed="8"/>
        <rFont val="Aptos Narrow"/>
      </rPr>
      <t>balises alt</t>
    </r>
    <r>
      <rPr>
        <sz val="11"/>
        <color indexed="8"/>
        <rFont val="Aptos Narrow"/>
      </rPr>
      <t xml:space="preserve">, et </t>
    </r>
    <r>
      <rPr>
        <b/>
        <sz val="11"/>
        <color indexed="8"/>
        <rFont val="Aptos Narrow"/>
      </rPr>
      <t>lisibilité des textes</t>
    </r>
    <r>
      <rPr>
        <sz val="11"/>
        <color indexed="8"/>
        <rFont val="Aptos Narrow"/>
      </rPr>
      <t>.</t>
    </r>
  </si>
  <si>
    <t>Semaine</t>
  </si>
  <si>
    <t>Objectifs principaux</t>
  </si>
  <si>
    <t>Tâches à réaliser</t>
  </si>
  <si>
    <t>Semaine 1</t>
  </si>
  <si>
    <t>Mise en conformité de base</t>
  </si>
  <si>
    <r>
      <rPr>
        <sz val="11"/>
        <color indexed="8"/>
        <rFont val="Aptos Narrow"/>
      </rPr>
      <t xml:space="preserve">- Choisir les </t>
    </r>
    <r>
      <rPr>
        <b/>
        <sz val="11"/>
        <color indexed="8"/>
        <rFont val="Aptos Narrow"/>
      </rPr>
      <t>prestataires européens</t>
    </r>
    <r>
      <rPr>
        <sz val="11"/>
        <color indexed="8"/>
        <rFont val="Aptos Narrow"/>
      </rPr>
      <t xml:space="preserve"> (emailing + cartes).</t>
    </r>
  </si>
  <si>
    <r>
      <rPr>
        <sz val="11"/>
        <color indexed="8"/>
        <rFont val="Aptos Narrow"/>
      </rPr>
      <t xml:space="preserve">- Rédiger les pages </t>
    </r>
    <r>
      <rPr>
        <b/>
        <sz val="11"/>
        <color indexed="8"/>
        <rFont val="Aptos Narrow"/>
      </rPr>
      <t>CGU / Confidentialité / Cookies / Charte</t>
    </r>
    <r>
      <rPr>
        <sz val="11"/>
        <color indexed="8"/>
        <rFont val="Aptos Narrow"/>
      </rPr>
      <t>.</t>
    </r>
  </si>
  <si>
    <t>- Configurer les DNS (SPF, DKIM, DMARC).</t>
  </si>
  <si>
    <t>Semaine 2</t>
  </si>
  <si>
    <t>Sécurisation et gestion des comptes</t>
  </si>
  <si>
    <r>
      <rPr>
        <sz val="11"/>
        <color indexed="8"/>
        <rFont val="Aptos Narrow"/>
      </rPr>
      <t xml:space="preserve">- Mettre en place le </t>
    </r>
    <r>
      <rPr>
        <b/>
        <sz val="11"/>
        <color indexed="8"/>
        <rFont val="Aptos Narrow"/>
      </rPr>
      <t>double opt-in</t>
    </r>
    <r>
      <rPr>
        <sz val="11"/>
        <color indexed="8"/>
        <rFont val="Aptos Narrow"/>
      </rPr>
      <t xml:space="preserve"> + </t>
    </r>
    <r>
      <rPr>
        <b/>
        <sz val="11"/>
        <color indexed="8"/>
        <rFont val="Aptos Narrow"/>
      </rPr>
      <t>lien de désinscription</t>
    </r>
    <r>
      <rPr>
        <sz val="11"/>
        <color indexed="8"/>
        <rFont val="Aptos Narrow"/>
      </rPr>
      <t>.</t>
    </r>
  </si>
  <si>
    <r>
      <rPr>
        <sz val="11"/>
        <color indexed="8"/>
        <rFont val="Aptos Narrow"/>
      </rPr>
      <t xml:space="preserve">- Installer la </t>
    </r>
    <r>
      <rPr>
        <b/>
        <sz val="11"/>
        <color indexed="8"/>
        <rFont val="Aptos Narrow"/>
      </rPr>
      <t>CMP cookies</t>
    </r>
    <r>
      <rPr>
        <sz val="11"/>
        <color indexed="8"/>
        <rFont val="Aptos Narrow"/>
      </rPr>
      <t>.</t>
    </r>
  </si>
  <si>
    <r>
      <rPr>
        <sz val="11"/>
        <color indexed="8"/>
        <rFont val="Aptos Narrow"/>
      </rPr>
      <t xml:space="preserve">- Activer les </t>
    </r>
    <r>
      <rPr>
        <b/>
        <sz val="11"/>
        <color indexed="8"/>
        <rFont val="Aptos Narrow"/>
      </rPr>
      <t>favoris privés par défaut</t>
    </r>
    <r>
      <rPr>
        <sz val="11"/>
        <color indexed="8"/>
        <rFont val="Aptos Narrow"/>
      </rPr>
      <t>.</t>
    </r>
  </si>
  <si>
    <r>
      <rPr>
        <sz val="11"/>
        <color indexed="8"/>
        <rFont val="Aptos Narrow"/>
      </rPr>
      <t xml:space="preserve">- Vérifier les </t>
    </r>
    <r>
      <rPr>
        <b/>
        <sz val="11"/>
        <color indexed="8"/>
        <rFont val="Aptos Narrow"/>
      </rPr>
      <t>logs sans données personnelles (PII)</t>
    </r>
    <r>
      <rPr>
        <sz val="11"/>
        <color indexed="8"/>
        <rFont val="Aptos Narrow"/>
      </rPr>
      <t>.</t>
    </r>
  </si>
  <si>
    <t>Semaine 3</t>
  </si>
  <si>
    <t>Vérification technique et tests de sécurité</t>
  </si>
  <si>
    <r>
      <rPr>
        <sz val="11"/>
        <color indexed="8"/>
        <rFont val="Aptos Narrow"/>
      </rPr>
      <t xml:space="preserve">- Réaliser un </t>
    </r>
    <r>
      <rPr>
        <b/>
        <sz val="11"/>
        <color indexed="8"/>
        <rFont val="Aptos Narrow"/>
      </rPr>
      <t>audit sécurité OWASP</t>
    </r>
    <r>
      <rPr>
        <sz val="11"/>
        <color indexed="8"/>
        <rFont val="Aptos Narrow"/>
      </rPr>
      <t xml:space="preserve"> (injections, accès non autorisés).</t>
    </r>
  </si>
  <si>
    <r>
      <rPr>
        <sz val="11"/>
        <color indexed="8"/>
        <rFont val="Aptos Narrow"/>
      </rPr>
      <t xml:space="preserve">- Tester la </t>
    </r>
    <r>
      <rPr>
        <b/>
        <sz val="11"/>
        <color indexed="8"/>
        <rFont val="Aptos Narrow"/>
      </rPr>
      <t>charge du site</t>
    </r>
    <r>
      <rPr>
        <sz val="11"/>
        <color indexed="8"/>
        <rFont val="Aptos Narrow"/>
      </rPr>
      <t xml:space="preserve"> et la </t>
    </r>
    <r>
      <rPr>
        <b/>
        <sz val="11"/>
        <color indexed="8"/>
        <rFont val="Aptos Narrow"/>
      </rPr>
      <t>restauration de backups</t>
    </r>
    <r>
      <rPr>
        <sz val="11"/>
        <color indexed="8"/>
        <rFont val="Aptos Narrow"/>
      </rPr>
      <t>.</t>
    </r>
  </si>
  <si>
    <r>
      <rPr>
        <sz val="11"/>
        <color indexed="8"/>
        <rFont val="Aptos Narrow"/>
      </rPr>
      <t xml:space="preserve">- Créer la </t>
    </r>
    <r>
      <rPr>
        <b/>
        <sz val="11"/>
        <color indexed="8"/>
        <rFont val="Aptos Narrow"/>
      </rPr>
      <t>page “Mes données”</t>
    </r>
    <r>
      <rPr>
        <sz val="11"/>
        <color indexed="8"/>
        <rFont val="Aptos Narrow"/>
      </rPr>
      <t xml:space="preserve"> pour export/suppression des comptes.</t>
    </r>
  </si>
  <si>
    <t>Semaine 4</t>
  </si>
  <si>
    <t>Processus et mise en production</t>
  </si>
  <si>
    <r>
      <rPr>
        <sz val="11"/>
        <color indexed="8"/>
        <rFont val="Aptos Narrow"/>
      </rPr>
      <t xml:space="preserve">- Mettre en place un modèle </t>
    </r>
    <r>
      <rPr>
        <b/>
        <sz val="11"/>
        <color indexed="8"/>
        <rFont val="Aptos Narrow"/>
      </rPr>
      <t>DSAR</t>
    </r>
    <r>
      <rPr>
        <sz val="11"/>
        <color indexed="8"/>
        <rFont val="Aptos Narrow"/>
      </rPr>
      <t xml:space="preserve"> (réponse aux demandes RGPD).</t>
    </r>
  </si>
  <si>
    <r>
      <rPr>
        <sz val="11"/>
        <color indexed="8"/>
        <rFont val="Aptos Narrow"/>
      </rPr>
      <t xml:space="preserve">- Finaliser le </t>
    </r>
    <r>
      <rPr>
        <b/>
        <sz val="11"/>
        <color indexed="8"/>
        <rFont val="Aptos Narrow"/>
      </rPr>
      <t>runbook incidents</t>
    </r>
    <r>
      <rPr>
        <sz val="11"/>
        <color indexed="8"/>
        <rFont val="Aptos Narrow"/>
      </rPr>
      <t xml:space="preserve"> (quoi faire en cas de panne ou fuite).</t>
    </r>
  </si>
  <si>
    <r>
      <rPr>
        <sz val="11"/>
        <color indexed="8"/>
        <rFont val="Aptos Narrow"/>
      </rPr>
      <t xml:space="preserve">- Tester la </t>
    </r>
    <r>
      <rPr>
        <b/>
        <sz val="11"/>
        <color indexed="8"/>
        <rFont val="Aptos Narrow"/>
      </rPr>
      <t>délivrabilité email (seed list)</t>
    </r>
    <r>
      <rPr>
        <sz val="11"/>
        <color indexed="8"/>
        <rFont val="Aptos Narrow"/>
      </rPr>
      <t>.</t>
    </r>
  </si>
  <si>
    <r>
      <rPr>
        <sz val="11"/>
        <color indexed="8"/>
        <rFont val="Aptos Narrow"/>
      </rPr>
      <t xml:space="preserve">- Effectuer la </t>
    </r>
    <r>
      <rPr>
        <b/>
        <sz val="11"/>
        <color indexed="8"/>
        <rFont val="Aptos Narrow"/>
      </rPr>
      <t>check-list finale avant mise en ligne</t>
    </r>
    <r>
      <rPr>
        <sz val="11"/>
        <color indexed="8"/>
        <rFont val="Aptos Narrow"/>
      </rPr>
      <t>.</t>
    </r>
  </si>
  <si>
    <t>Politiques &amp; pages à publier</t>
  </si>
  <si>
    <t>Page / Politique</t>
  </si>
  <si>
    <t>Contenu obligatoire</t>
  </si>
  <si>
    <t>Mentions légales</t>
  </si>
  <si>
    <t>Nom(s) des créateurs, hébergeur, contact email.</t>
  </si>
  <si>
    <t>CGU (Conditions générales d’utilisation)</t>
  </si>
  <si>
    <t>Règles pour les comptes, favoris, partage public, responsabilité limitée, interdictions d’usage.</t>
  </si>
  <si>
    <t>Politique de confidentialité</t>
  </si>
  <si>
    <t>Finalités, bases légales, droits utilisateurs, durées de conservation, destinataires, transferts.</t>
  </si>
  <si>
    <t>Politique cookies</t>
  </si>
  <si>
    <t>Description des cookies utilisés + lien vers CMP de consentement.</t>
  </si>
  <si>
    <t>Charte de la communauté</t>
  </si>
  <si>
    <t>Comportement attendu (respect, avis constructifs, interdiction d’insultes), procédure de signalement.</t>
  </si>
  <si>
    <t>Page Transparence (si un jour)</t>
  </si>
  <si>
    <t>Indiquer les partenariats, affiliations ou offres sponsorisées, s’ils existent plus tard.</t>
  </si>
  <si>
    <t>Accès non autorisé aux favoris d’un autre utilisateur (partage d’URL ou identifiant non protégé).</t>
  </si>
  <si>
    <t>Atteinte à la confidentialité, perte de confiance des utilisateurs.</t>
  </si>
  <si>
    <t>Authentification et autorisations robustes (AuthN/AuthZ), vérification des droits d’accès, utilisation d’IDs aléatoires non devinables.</t>
  </si>
  <si>
    <t>Surveillance des logs d’accès, correction immédiate en cas d’accès suspect, notification de l’utilisateur concerné.</t>
  </si>
  <si>
    <t>À chaque ajout ou modification d’une fonctionnalité liée aux comptes utilisateurs.</t>
  </si>
  <si>
    <t>Perte de données suite à une erreur technique ou à l’absence de sauvegarde récente.</t>
  </si>
  <si>
    <t>Suppression accidentelle du contenu du site ou des comptes utilisateurs.</t>
  </si>
  <si>
    <t>Réaliser des sauvegardes manuelles avant chaque mise à jour importante ou présentation, en conservant au moins deux versions sur des supports distincts (Google Drive et GitHub privé).</t>
  </si>
  <si>
    <t>À chaque mise à jour majeure</t>
  </si>
  <si>
    <t>Avant chaque démonstration ou soutenance.</t>
  </si>
  <si>
    <t>Supprimer les comptes ou emails inactifs depuis plus de 3 ans</t>
  </si>
  <si>
    <t>Fuite ou piratage des emails ou favoris (violation de données personnelles).</t>
  </si>
  <si>
    <t>Notification CNIL obligatoire, perte de confiance.</t>
  </si>
  <si>
    <t>Restreindre les accès à la base de données, sauvegarder sur espace sécurisé (Drive privé, GitHub privé).</t>
  </si>
  <si>
    <t>En cas de fuite, notifier la CNIL et les utilisateurs sous 72h, réinitialiser les accès.</t>
  </si>
  <si>
    <t>Répondre aux demandes sous 30 jours maximum (délai légal RGPD), supprimer les données concernées et conserver une preuve de suppression.</t>
  </si>
  <si>
    <t>Ajouter une mention “Site réservé aux étudiants de 16 ans et plus” et une case de confirmation d’âge à l’inscription.</t>
  </si>
  <si>
    <t>Supprimer les comptes non conformes si détectés ou signalés.</t>
  </si>
  <si>
    <t>IInformations trompeuses ou exagérées (“bons plans” volontairement embellis ou non réels)</t>
  </si>
  <si>
    <t>Risque de signalement pour publicité trompeuse, perte de confiance des utilisateurs</t>
  </si>
  <si>
    <t>Indiquer systématiquement la source et préciser s’il s’agit d’une estimation, d’une offre temporaire ou approximative. Ne jamais exagérer les prix ou les réductions.</t>
  </si>
  <si>
    <t>Absence de mentions légales obligatoires sur le site</t>
  </si>
  <si>
    <t>Créer une page Mentions légales avec : noms des créateurs, hébergeur, contact mail et mention.</t>
  </si>
  <si>
    <t>Absence de CGU (conditions d’utilisation)</t>
  </si>
  <si>
    <t>Accessibilité numérique insuffisante (contraste, balises ALT, navigation clavier, taille du texte)</t>
  </si>
  <si>
    <t>Exclusion de certains utilisateurs, baisse du référencement (SEO)</t>
  </si>
  <si>
    <t>Réaliser un mini audit RGAA : vérifier le contraste, la présence des textes alternatifs sur les images, la taille de police, et la navigation clavier.</t>
  </si>
  <si>
    <t>Mettre en place des correctifs après chaque test utilisateur ou retour d’accessibilité.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</si>
</sst>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</font>
    <font>
      <b/>
      <sz val="18"/>
      <color indexed="8"/>
      <name val="Aptos Narrow"/>
    </font>
    <font>
      <b/>
      <sz val="11"/>
      <color indexed="8"/>
      <name val="Aptos Narrow"/>
    </font>
    <font>
      <b/>
      <sz val="24"/>
      <color indexed="8"/>
      <name val="Aptos Narrow"/>
    </font>
    <font>
      <b/>
      <sz val="13"/>
      <color indexed="8"/>
      <name val="Aptos Narrow"/>
    </font>
    <font>
      <i/>
      <sz val="11"/>
      <color indexed="8"/>
      <name val="Aptos Narrow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42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2" fillId="3" borderId="4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2" fillId="2" borderId="6" xfId="0" applyFont="1" applyFill="1" applyBorder="1" applyAlignment="1">
      <alignment horizontal="center" vertical="center" wrapText="1"/>
    </xf>
    <xf numFmtId="0" fontId="0" fillId="0" borderId="7" xfId="0" applyBorder="1"/>
    <xf numFmtId="49" fontId="0" fillId="0" borderId="1" xfId="0" applyNumberFormat="1" applyBorder="1"/>
    <xf numFmtId="0" fontId="0" fillId="0" borderId="1" xfId="0" applyNumberFormat="1" applyBorder="1"/>
    <xf numFmtId="49" fontId="0" fillId="2" borderId="4" xfId="0" applyNumberFormat="1" applyFill="1" applyBorder="1" applyAlignment="1">
      <alignment horizontal="center" vertical="center" wrapText="1"/>
    </xf>
    <xf numFmtId="0" fontId="0" fillId="2" borderId="4" xfId="0" applyNumberFormat="1" applyFill="1" applyBorder="1" applyAlignment="1">
      <alignment horizontal="center" vertical="center" wrapText="1"/>
    </xf>
    <xf numFmtId="0" fontId="0" fillId="0" borderId="8" xfId="0" applyNumberFormat="1" applyBorder="1"/>
    <xf numFmtId="0" fontId="0" fillId="0" borderId="9" xfId="0" applyBorder="1"/>
    <xf numFmtId="0" fontId="0" fillId="2" borderId="4" xfId="0" applyFill="1" applyBorder="1" applyAlignment="1">
      <alignment horizontal="center" vertical="center" wrapText="1"/>
    </xf>
    <xf numFmtId="0" fontId="0" fillId="2" borderId="10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8" xfId="0" applyBorder="1"/>
    <xf numFmtId="0" fontId="0" fillId="0" borderId="10" xfId="0" applyBorder="1"/>
    <xf numFmtId="0" fontId="3" fillId="2" borderId="10" xfId="0" applyFont="1" applyFill="1" applyBorder="1" applyAlignment="1">
      <alignment vertical="center"/>
    </xf>
    <xf numFmtId="0" fontId="0" fillId="0" borderId="11" xfId="0" applyBorder="1"/>
    <xf numFmtId="0" fontId="2" fillId="2" borderId="12" xfId="0" applyFont="1" applyFill="1" applyBorder="1" applyAlignment="1">
      <alignment horizontal="center" vertical="center" wrapText="1"/>
    </xf>
    <xf numFmtId="49" fontId="2" fillId="0" borderId="10" xfId="0" applyNumberFormat="1" applyFont="1" applyBorder="1"/>
    <xf numFmtId="49" fontId="4" fillId="2" borderId="1" xfId="0" applyNumberFormat="1" applyFont="1" applyFill="1" applyBorder="1" applyAlignment="1">
      <alignment vertical="center"/>
    </xf>
    <xf numFmtId="49" fontId="2" fillId="0" borderId="1" xfId="0" applyNumberFormat="1" applyFont="1" applyBorder="1"/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vertical="center"/>
    </xf>
    <xf numFmtId="49" fontId="2" fillId="3" borderId="13" xfId="0" applyNumberFormat="1" applyFont="1" applyFill="1" applyBorder="1" applyAlignment="1">
      <alignment horizontal="center" vertical="center" wrapText="1"/>
    </xf>
    <xf numFmtId="49" fontId="2" fillId="2" borderId="14" xfId="0" applyNumberFormat="1" applyFont="1" applyFill="1" applyBorder="1" applyAlignment="1">
      <alignment vertical="center" wrapText="1"/>
    </xf>
    <xf numFmtId="49" fontId="0" fillId="2" borderId="14" xfId="0" applyNumberFormat="1" applyFill="1" applyBorder="1" applyAlignment="1">
      <alignment vertical="center" wrapText="1"/>
    </xf>
    <xf numFmtId="0" fontId="0" fillId="0" borderId="15" xfId="0" applyBorder="1"/>
    <xf numFmtId="0" fontId="0" fillId="0" borderId="18" xfId="0" applyBorder="1"/>
    <xf numFmtId="0" fontId="0" fillId="2" borderId="14" xfId="0" applyFill="1" applyBorder="1" applyAlignment="1">
      <alignment vertical="center" wrapText="1"/>
    </xf>
    <xf numFmtId="49" fontId="2" fillId="2" borderId="16" xfId="0" applyNumberFormat="1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49" fontId="2" fillId="2" borderId="14" xfId="0" applyNumberFormat="1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E6E9EB"/>
      <rgbColor rgb="FFB51A00"/>
      <rgbColor rgb="FF831100"/>
      <rgbColor rgb="FFD8D8D8"/>
      <rgbColor rgb="FF3F3F3F"/>
      <rgbColor rgb="FF595959"/>
      <rgbColor rgb="FFA5A5A5"/>
      <rgbColor rgb="FFFFC000"/>
      <rgbColor rgb="FFFF0000"/>
      <rgbColor rgb="FFC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i="0" u="none" strike="noStrike">
                <a:solidFill>
                  <a:srgbClr val="595959"/>
                </a:solidFill>
                <a:latin typeface="Aptos Narrow"/>
              </a:defRPr>
            </a:pPr>
            <a:r>
              <a:rPr lang="fr-FR" sz="1400" b="0" i="0" u="none" strike="noStrike">
                <a:solidFill>
                  <a:srgbClr val="595959"/>
                </a:solidFill>
                <a:latin typeface="Aptos Narrow"/>
              </a:rPr>
              <a:t>Risques Technique &amp; Infrastructure</a:t>
            </a:r>
          </a:p>
        </c:rich>
      </c:tx>
      <c:layout>
        <c:manualLayout>
          <c:xMode val="edge"/>
          <c:yMode val="edge"/>
          <c:x val="0.25887700000000002"/>
          <c:y val="0"/>
          <c:w val="0.48224600000000001"/>
          <c:h val="0.180197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80197"/>
          <c:y val="0.180197"/>
          <c:w val="0.63960600000000001"/>
          <c:h val="0.62710600000000005"/>
        </c:manualLayout>
      </c:layout>
      <c:pieChart>
        <c:varyColors val="0"/>
        <c:ser>
          <c:idx val="0"/>
          <c:order val="0"/>
          <c:tx>
            <c:v/>
          </c:tx>
          <c:spPr>
            <a:solidFill>
              <a:schemeClr val="accent1"/>
            </a:solidFill>
            <a:ln w="19050" cap="flat">
              <a:solidFill>
                <a:srgbClr val="FFFFFF"/>
              </a:solidFill>
              <a:prstDash val="solid"/>
              <a:round/>
            </a:ln>
            <a:effectLst/>
          </c:spPr>
          <c:dPt>
            <c:idx val="0"/>
            <c:bubble3D val="0"/>
            <c:spPr>
              <a:solidFill>
                <a:schemeClr val="accent1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1A-44CA-A5DD-1121F851B49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1A-44CA-A5DD-1121F851B49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81A-44CA-A5DD-1121F851B4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81A-44CA-A5DD-1121F851B49C}"/>
              </c:ext>
            </c:extLst>
          </c:dPt>
          <c:dLbls>
            <c:dLbl>
              <c:idx val="0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81A-44CA-A5DD-1121F851B49C}"/>
                </c:ext>
              </c:extLst>
            </c:dLbl>
            <c:dLbl>
              <c:idx val="1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81A-44CA-A5DD-1121F851B49C}"/>
                </c:ext>
              </c:extLst>
            </c:dLbl>
            <c:dLbl>
              <c:idx val="2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81A-44CA-A5DD-1121F851B49C}"/>
                </c:ext>
              </c:extLst>
            </c:dLbl>
            <c:dLbl>
              <c:idx val="3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81A-44CA-A5DD-1121F851B49C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Aptos Narrow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>
                  <a:solidFill>
                    <a:srgbClr val="A6A6A6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'Registre de risques'!$P$5:$P$8</c:f>
              <c:strCache>
                <c:ptCount val="4"/>
                <c:pt idx="0">
                  <c:v>Critique </c:v>
                </c:pt>
                <c:pt idx="1">
                  <c:v>Élevé</c:v>
                </c:pt>
                <c:pt idx="2">
                  <c:v>Moyen</c:v>
                </c:pt>
                <c:pt idx="3">
                  <c:v>Faible </c:v>
                </c:pt>
              </c:strCache>
            </c:strRef>
          </c:cat>
          <c:val>
            <c:numRef>
              <c:f>'Registre de risques'!$Q$5:$Q$8</c:f>
              <c:numCache>
                <c:formatCode>General</c:formatCode>
                <c:ptCount val="4"/>
                <c:pt idx="0">
                  <c:v>0</c:v>
                </c:pt>
                <c:pt idx="1">
                  <c:v>7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81A-44CA-A5DD-1121F851B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6128099999999999"/>
          <c:y val="0.9345"/>
          <c:w val="0.477437"/>
          <c:h val="4.9173799999999997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900" b="0" i="0" u="none" strike="noStrike">
              <a:solidFill>
                <a:srgbClr val="595959"/>
              </a:solidFill>
              <a:latin typeface="Aptos Narrow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i="0" u="none" strike="noStrike">
                <a:solidFill>
                  <a:srgbClr val="595959"/>
                </a:solidFill>
                <a:latin typeface="Aptos Narrow"/>
              </a:defRPr>
            </a:pPr>
            <a:r>
              <a:rPr lang="fr-FR" sz="1400" b="0" i="0" u="none" strike="noStrike">
                <a:solidFill>
                  <a:srgbClr val="595959"/>
                </a:solidFill>
                <a:latin typeface="Aptos Narrow"/>
              </a:rPr>
              <a:t>Sécurité &amp; Vie privée </a:t>
            </a:r>
          </a:p>
        </c:rich>
      </c:tx>
      <c:layout>
        <c:manualLayout>
          <c:xMode val="edge"/>
          <c:yMode val="edge"/>
          <c:x val="0.41018100000000002"/>
          <c:y val="0"/>
          <c:w val="0.17963899999999999"/>
          <c:h val="0.259344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25934499999999999"/>
          <c:y val="0.25934499999999999"/>
          <c:w val="0.48130899999999999"/>
          <c:h val="0.46880899999999998"/>
        </c:manualLayout>
      </c:layout>
      <c:pieChart>
        <c:varyColors val="0"/>
        <c:ser>
          <c:idx val="0"/>
          <c:order val="0"/>
          <c:tx>
            <c:v/>
          </c:tx>
          <c:spPr>
            <a:solidFill>
              <a:schemeClr val="accent1"/>
            </a:solidFill>
            <a:ln w="19050" cap="flat">
              <a:solidFill>
                <a:srgbClr val="FFFFFF"/>
              </a:solidFill>
              <a:prstDash val="solid"/>
              <a:round/>
            </a:ln>
            <a:effectLst/>
          </c:spPr>
          <c:dPt>
            <c:idx val="0"/>
            <c:bubble3D val="0"/>
            <c:spPr>
              <a:solidFill>
                <a:schemeClr val="accent1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95-4B6A-88C9-77644E3D000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95-4B6A-88C9-77644E3D000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C95-4B6A-88C9-77644E3D00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C95-4B6A-88C9-77644E3D000A}"/>
              </c:ext>
            </c:extLst>
          </c:dPt>
          <c:dLbls>
            <c:dLbl>
              <c:idx val="0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C95-4B6A-88C9-77644E3D000A}"/>
                </c:ext>
              </c:extLst>
            </c:dLbl>
            <c:dLbl>
              <c:idx val="1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C95-4B6A-88C9-77644E3D000A}"/>
                </c:ext>
              </c:extLst>
            </c:dLbl>
            <c:dLbl>
              <c:idx val="2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C95-4B6A-88C9-77644E3D000A}"/>
                </c:ext>
              </c:extLst>
            </c:dLbl>
            <c:dLbl>
              <c:idx val="3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DC95-4B6A-88C9-77644E3D000A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Aptos Narrow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>
                  <a:solidFill>
                    <a:srgbClr val="A6A6A6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'Registre de risques'!$O$19:$O$22</c:f>
              <c:strCache>
                <c:ptCount val="4"/>
                <c:pt idx="0">
                  <c:v>Critique </c:v>
                </c:pt>
                <c:pt idx="1">
                  <c:v>Élevé</c:v>
                </c:pt>
                <c:pt idx="2">
                  <c:v>Moyen</c:v>
                </c:pt>
                <c:pt idx="3">
                  <c:v>Faible </c:v>
                </c:pt>
              </c:strCache>
            </c:strRef>
          </c:cat>
          <c:val>
            <c:numRef>
              <c:f>'Registre de risques'!$P$19:$P$22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95-4B6A-88C9-77644E3D0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5504799999999997"/>
          <c:y val="0.81972100000000003"/>
          <c:w val="0.289904"/>
          <c:h val="3.9678499999999998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900" b="0" i="0" u="none" strike="noStrike">
              <a:solidFill>
                <a:srgbClr val="595959"/>
              </a:solidFill>
              <a:latin typeface="Aptos Narrow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i="0" u="none" strike="noStrike">
                <a:solidFill>
                  <a:srgbClr val="595959"/>
                </a:solidFill>
                <a:latin typeface="Aptos Narrow"/>
              </a:defRPr>
            </a:pPr>
            <a:r>
              <a:rPr lang="fr-FR" sz="1400" b="0" i="0" u="none" strike="noStrike">
                <a:solidFill>
                  <a:srgbClr val="595959"/>
                </a:solidFill>
                <a:latin typeface="Aptos Narrow"/>
              </a:rPr>
              <a:t>Juridique / Contenus / Communauté</a:t>
            </a:r>
          </a:p>
        </c:rich>
      </c:tx>
      <c:layout>
        <c:manualLayout>
          <c:xMode val="edge"/>
          <c:yMode val="edge"/>
          <c:x val="0.35503899999999999"/>
          <c:y val="0"/>
          <c:w val="0.28992200000000001"/>
          <c:h val="0.22178600000000001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22178600000000001"/>
          <c:y val="0.22178600000000001"/>
          <c:w val="0.55642899999999995"/>
          <c:h val="0.543929"/>
        </c:manualLayout>
      </c:layout>
      <c:pieChart>
        <c:varyColors val="0"/>
        <c:ser>
          <c:idx val="0"/>
          <c:order val="0"/>
          <c:tx>
            <c:v/>
          </c:tx>
          <c:spPr>
            <a:solidFill>
              <a:schemeClr val="accent1"/>
            </a:solidFill>
            <a:ln w="19050" cap="flat">
              <a:solidFill>
                <a:srgbClr val="FFFFFF"/>
              </a:solidFill>
              <a:prstDash val="solid"/>
              <a:round/>
            </a:ln>
            <a:effectLst/>
          </c:spPr>
          <c:dPt>
            <c:idx val="0"/>
            <c:bubble3D val="0"/>
            <c:spPr>
              <a:solidFill>
                <a:schemeClr val="accent1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F9-426E-97D5-3058D1707BB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F9-426E-97D5-3058D1707BBD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F9-426E-97D5-3058D1707B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EF9-426E-97D5-3058D1707BBD}"/>
              </c:ext>
            </c:extLst>
          </c:dPt>
          <c:dLbls>
            <c:dLbl>
              <c:idx val="0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EF9-426E-97D5-3058D1707BBD}"/>
                </c:ext>
              </c:extLst>
            </c:dLbl>
            <c:dLbl>
              <c:idx val="1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EF9-426E-97D5-3058D1707BBD}"/>
                </c:ext>
              </c:extLst>
            </c:dLbl>
            <c:dLbl>
              <c:idx val="2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EF9-426E-97D5-3058D1707BBD}"/>
                </c:ext>
              </c:extLst>
            </c:dLbl>
            <c:dLbl>
              <c:idx val="3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EF9-426E-97D5-3058D1707BBD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Aptos Narrow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>
                  <a:solidFill>
                    <a:srgbClr val="A6A6A6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'Registre de risques'!$N$35:$N$38</c:f>
              <c:strCache>
                <c:ptCount val="4"/>
                <c:pt idx="0">
                  <c:v>Critique </c:v>
                </c:pt>
                <c:pt idx="1">
                  <c:v>Élevé</c:v>
                </c:pt>
                <c:pt idx="2">
                  <c:v>Moyen</c:v>
                </c:pt>
                <c:pt idx="3">
                  <c:v>Faible </c:v>
                </c:pt>
              </c:strCache>
            </c:strRef>
          </c:cat>
          <c:val>
            <c:numRef>
              <c:f>'Registre de risques'!$O$35:$O$38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F9-426E-97D5-3058D1707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59483"/>
          <c:y val="0.86833300000000002"/>
          <c:w val="0.28103400000000001"/>
          <c:h val="3.9229399999999998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900" b="0" i="0" u="none" strike="noStrike">
              <a:solidFill>
                <a:srgbClr val="595959"/>
              </a:solidFill>
              <a:latin typeface="Aptos Narrow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i="0" u="none" strike="noStrike">
                <a:solidFill>
                  <a:srgbClr val="595959"/>
                </a:solidFill>
                <a:latin typeface="Aptos Narrow"/>
              </a:defRPr>
            </a:pPr>
            <a:r>
              <a:rPr lang="fr-FR" sz="1400" b="0" i="0" u="none" strike="noStrike">
                <a:solidFill>
                  <a:srgbClr val="595959"/>
                </a:solidFill>
                <a:latin typeface="Aptos Narrow"/>
              </a:rPr>
              <a:t>Opérationnel &amp; Organisation</a:t>
            </a:r>
          </a:p>
        </c:rich>
      </c:tx>
      <c:layout>
        <c:manualLayout>
          <c:xMode val="edge"/>
          <c:yMode val="edge"/>
          <c:x val="0.35693000000000003"/>
          <c:y val="0"/>
          <c:w val="0.28613899999999998"/>
          <c:h val="0.2176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217699"/>
          <c:y val="0.217699"/>
          <c:w val="0.56460100000000002"/>
          <c:h val="0.55210099999999995"/>
        </c:manualLayout>
      </c:layout>
      <c:pieChart>
        <c:varyColors val="0"/>
        <c:ser>
          <c:idx val="0"/>
          <c:order val="0"/>
          <c:tx>
            <c:v/>
          </c:tx>
          <c:spPr>
            <a:solidFill>
              <a:schemeClr val="accent1"/>
            </a:solidFill>
            <a:ln w="19050" cap="flat">
              <a:solidFill>
                <a:srgbClr val="FFFFFF"/>
              </a:solidFill>
              <a:prstDash val="solid"/>
              <a:round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851-4961-89AD-FA7AA773CB5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51-4961-89AD-FA7AA773CB57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51-4961-89AD-FA7AA773CB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51-4961-89AD-FA7AA773CB57}"/>
              </c:ext>
            </c:extLst>
          </c:dPt>
          <c:dLbls>
            <c:dLbl>
              <c:idx val="0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851-4961-89AD-FA7AA773CB57}"/>
                </c:ext>
              </c:extLst>
            </c:dLbl>
            <c:dLbl>
              <c:idx val="1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851-4961-89AD-FA7AA773CB57}"/>
                </c:ext>
              </c:extLst>
            </c:dLbl>
            <c:dLbl>
              <c:idx val="2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851-4961-89AD-FA7AA773CB57}"/>
                </c:ext>
              </c:extLst>
            </c:dLbl>
            <c:dLbl>
              <c:idx val="3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851-4961-89AD-FA7AA773CB57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Aptos Narrow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>
                  <a:solidFill>
                    <a:srgbClr val="A6A6A6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'Registre de risques'!$N$48:$N$51</c:f>
              <c:strCache>
                <c:ptCount val="4"/>
                <c:pt idx="0">
                  <c:v>Critique </c:v>
                </c:pt>
                <c:pt idx="1">
                  <c:v>Élevé</c:v>
                </c:pt>
                <c:pt idx="2">
                  <c:v>Moyen</c:v>
                </c:pt>
                <c:pt idx="3">
                  <c:v>Faible </c:v>
                </c:pt>
              </c:strCache>
            </c:strRef>
          </c:cat>
          <c:val>
            <c:numRef>
              <c:f>'Registre de risques'!$O$48:$O$51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51-4961-89AD-FA7AA773C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2405699999999998"/>
          <c:y val="0.877919"/>
          <c:w val="0.351885"/>
          <c:h val="4.2816800000000002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900" b="0" i="0" u="none" strike="noStrike">
              <a:solidFill>
                <a:srgbClr val="595959"/>
              </a:solidFill>
              <a:latin typeface="Aptos Narrow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i="0" u="none" strike="noStrike">
                <a:solidFill>
                  <a:srgbClr val="595959"/>
                </a:solidFill>
                <a:latin typeface="Aptos Narrow"/>
              </a:defRPr>
            </a:pPr>
            <a:r>
              <a:rPr lang="fr-FR" sz="1400" b="0" i="0" u="none" strike="noStrike">
                <a:solidFill>
                  <a:srgbClr val="595959"/>
                </a:solidFill>
                <a:latin typeface="Aptos Narrow"/>
              </a:rPr>
              <a:t>Qualité des données &amp; UX</a:t>
            </a:r>
          </a:p>
        </c:rich>
      </c:tx>
      <c:layout>
        <c:manualLayout>
          <c:xMode val="edge"/>
          <c:yMode val="edge"/>
          <c:x val="0.342113"/>
          <c:y val="0"/>
          <c:w val="0.31577300000000003"/>
          <c:h val="0.165401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6540199999999999"/>
          <c:y val="0.16540199999999999"/>
          <c:w val="0.66919600000000001"/>
          <c:h val="0.65669599999999995"/>
        </c:manualLayout>
      </c:layout>
      <c:pieChart>
        <c:varyColors val="0"/>
        <c:ser>
          <c:idx val="0"/>
          <c:order val="0"/>
          <c:tx>
            <c:v/>
          </c:tx>
          <c:spPr>
            <a:solidFill>
              <a:schemeClr val="accent1"/>
            </a:solidFill>
            <a:ln w="19050" cap="flat">
              <a:solidFill>
                <a:srgbClr val="FFFFFF"/>
              </a:solidFill>
              <a:prstDash val="solid"/>
              <a:round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FFB-4212-B4A7-C978629E23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FB-4212-B4A7-C978629E2326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FB-4212-B4A7-C978629E2326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FFB-4212-B4A7-C978629E2326}"/>
              </c:ext>
            </c:extLst>
          </c:dPt>
          <c:dLbls>
            <c:dLbl>
              <c:idx val="0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FFB-4212-B4A7-C978629E2326}"/>
                </c:ext>
              </c:extLst>
            </c:dLbl>
            <c:dLbl>
              <c:idx val="1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FFB-4212-B4A7-C978629E2326}"/>
                </c:ext>
              </c:extLst>
            </c:dLbl>
            <c:dLbl>
              <c:idx val="2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FFB-4212-B4A7-C978629E2326}"/>
                </c:ext>
              </c:extLst>
            </c:dLbl>
            <c:dLbl>
              <c:idx val="3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FFB-4212-B4A7-C978629E2326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Aptos Narrow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>
                  <a:solidFill>
                    <a:srgbClr val="A6A6A6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'Registre de risques'!$N$58:$N$61</c:f>
              <c:strCache>
                <c:ptCount val="4"/>
                <c:pt idx="0">
                  <c:v>Critique </c:v>
                </c:pt>
                <c:pt idx="1">
                  <c:v>Élevé</c:v>
                </c:pt>
                <c:pt idx="2">
                  <c:v>Moyen</c:v>
                </c:pt>
                <c:pt idx="3">
                  <c:v>Faible </c:v>
                </c:pt>
              </c:strCache>
            </c:strRef>
          </c:cat>
          <c:val>
            <c:numRef>
              <c:f>'Registre de risques'!$O$58:$O$61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FB-4212-B4A7-C978629E2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9210399999999997"/>
          <c:y val="0.95016900000000004"/>
          <c:w val="0.41579199999999999"/>
          <c:h val="4.6052500000000003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900" b="0" i="0" u="none" strike="noStrike">
              <a:solidFill>
                <a:srgbClr val="595959"/>
              </a:solidFill>
              <a:latin typeface="Aptos Narrow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i="0" u="none" strike="noStrike">
                <a:solidFill>
                  <a:srgbClr val="595959"/>
                </a:solidFill>
                <a:latin typeface="Aptos Narrow"/>
              </a:defRPr>
            </a:pPr>
            <a:r>
              <a:rPr lang="fr-FR" sz="1400" b="0" i="0" u="none" strike="noStrike">
                <a:solidFill>
                  <a:srgbClr val="595959"/>
                </a:solidFill>
                <a:latin typeface="Aptos Narrow"/>
              </a:rPr>
              <a:t>Emailing &amp; Délivrabilité</a:t>
            </a:r>
          </a:p>
        </c:rich>
      </c:tx>
      <c:layout>
        <c:manualLayout>
          <c:xMode val="edge"/>
          <c:yMode val="edge"/>
          <c:x val="0.34710099999999999"/>
          <c:y val="0"/>
          <c:w val="0.30579800000000001"/>
          <c:h val="0.1676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67602"/>
          <c:y val="0.167602"/>
          <c:w val="0.66479699999999997"/>
          <c:h val="0.65229700000000002"/>
        </c:manualLayout>
      </c:layout>
      <c:pieChart>
        <c:varyColors val="0"/>
        <c:ser>
          <c:idx val="0"/>
          <c:order val="0"/>
          <c:tx>
            <c:v/>
          </c:tx>
          <c:spPr>
            <a:solidFill>
              <a:schemeClr val="accent1"/>
            </a:solidFill>
            <a:ln w="19050" cap="flat">
              <a:solidFill>
                <a:srgbClr val="FFFFFF"/>
              </a:solidFill>
              <a:prstDash val="solid"/>
              <a:round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8B8-4696-9168-608A627C093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B8-4696-9168-608A627C093D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8B8-4696-9168-608A627C09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 cap="flat">
                <a:solidFill>
                  <a:srgbClr val="FFFF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8B8-4696-9168-608A627C093D}"/>
              </c:ext>
            </c:extLst>
          </c:dPt>
          <c:dLbls>
            <c:dLbl>
              <c:idx val="0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8B8-4696-9168-608A627C093D}"/>
                </c:ext>
              </c:extLst>
            </c:dLbl>
            <c:dLbl>
              <c:idx val="1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8B8-4696-9168-608A627C093D}"/>
                </c:ext>
              </c:extLst>
            </c:dLbl>
            <c:dLbl>
              <c:idx val="2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8B8-4696-9168-608A627C093D}"/>
                </c:ext>
              </c:extLst>
            </c:dLbl>
            <c:dLbl>
              <c:idx val="3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8B8-4696-9168-608A627C093D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Aptos Narrow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>
                  <a:solidFill>
                    <a:srgbClr val="A6A6A6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'Registre de risques'!$N$66:$N$69</c:f>
              <c:strCache>
                <c:ptCount val="4"/>
                <c:pt idx="0">
                  <c:v>Critique </c:v>
                </c:pt>
                <c:pt idx="1">
                  <c:v>Élevé</c:v>
                </c:pt>
                <c:pt idx="2">
                  <c:v>Moyen</c:v>
                </c:pt>
                <c:pt idx="3">
                  <c:v>Faible </c:v>
                </c:pt>
              </c:strCache>
            </c:strRef>
          </c:cat>
          <c:val>
            <c:numRef>
              <c:f>'Registre de risques'!$O$66:$O$69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B8-4696-9168-608A627C0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6797599999999999"/>
          <c:y val="0.950179"/>
          <c:w val="0.46404800000000002"/>
          <c:h val="4.8495799999999999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900" b="0" i="0" u="none" strike="noStrike">
              <a:solidFill>
                <a:srgbClr val="595959"/>
              </a:solidFill>
              <a:latin typeface="Aptos Narrow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404458</xdr:colOff>
      <xdr:row>1</xdr:row>
      <xdr:rowOff>175902</xdr:rowOff>
    </xdr:from>
    <xdr:to>
      <xdr:col>25</xdr:col>
      <xdr:colOff>49347</xdr:colOff>
      <xdr:row>10</xdr:row>
      <xdr:rowOff>204966</xdr:rowOff>
    </xdr:to>
    <xdr:graphicFrame macro="">
      <xdr:nvGraphicFramePr>
        <xdr:cNvPr id="2" name="Graphiqu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500048</xdr:colOff>
      <xdr:row>14</xdr:row>
      <xdr:rowOff>721273</xdr:rowOff>
    </xdr:from>
    <xdr:to>
      <xdr:col>28</xdr:col>
      <xdr:colOff>378059</xdr:colOff>
      <xdr:row>25</xdr:row>
      <xdr:rowOff>284959</xdr:rowOff>
    </xdr:to>
    <xdr:graphicFrame macro="">
      <xdr:nvGraphicFramePr>
        <xdr:cNvPr id="3" name="Graphique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344867</xdr:colOff>
      <xdr:row>31</xdr:row>
      <xdr:rowOff>115020</xdr:rowOff>
    </xdr:from>
    <xdr:to>
      <xdr:col>28</xdr:col>
      <xdr:colOff>523237</xdr:colOff>
      <xdr:row>41</xdr:row>
      <xdr:rowOff>883941</xdr:rowOff>
    </xdr:to>
    <xdr:graphicFrame macro="">
      <xdr:nvGraphicFramePr>
        <xdr:cNvPr id="4" name="Graphique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6467</xdr:colOff>
      <xdr:row>45</xdr:row>
      <xdr:rowOff>60446</xdr:rowOff>
    </xdr:from>
    <xdr:to>
      <xdr:col>26</xdr:col>
      <xdr:colOff>836989</xdr:colOff>
      <xdr:row>53</xdr:row>
      <xdr:rowOff>662369</xdr:rowOff>
    </xdr:to>
    <xdr:graphicFrame macro="">
      <xdr:nvGraphicFramePr>
        <xdr:cNvPr id="5" name="Graphique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452713</xdr:colOff>
      <xdr:row>55</xdr:row>
      <xdr:rowOff>33641</xdr:rowOff>
    </xdr:from>
    <xdr:to>
      <xdr:col>25</xdr:col>
      <xdr:colOff>78093</xdr:colOff>
      <xdr:row>62</xdr:row>
      <xdr:rowOff>335296</xdr:rowOff>
    </xdr:to>
    <xdr:graphicFrame macro="">
      <xdr:nvGraphicFramePr>
        <xdr:cNvPr id="6" name="Graphique 1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601822</xdr:colOff>
      <xdr:row>62</xdr:row>
      <xdr:rowOff>628390</xdr:rowOff>
    </xdr:from>
    <xdr:to>
      <xdr:col>24</xdr:col>
      <xdr:colOff>413455</xdr:colOff>
      <xdr:row>69</xdr:row>
      <xdr:rowOff>239997</xdr:rowOff>
    </xdr:to>
    <xdr:graphicFrame macro="">
      <xdr:nvGraphicFramePr>
        <xdr:cNvPr id="7" name="Graphique 1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1"/>
  <sheetViews>
    <sheetView showGridLines="0" tabSelected="1" topLeftCell="A57" zoomScale="55" zoomScaleNormal="55" workbookViewId="0">
      <selection activeCell="H60" sqref="H60"/>
    </sheetView>
  </sheetViews>
  <sheetFormatPr baseColWidth="10" defaultColWidth="11.453125" defaultRowHeight="14.5" customHeight="1" x14ac:dyDescent="0.35"/>
  <cols>
    <col min="1" max="1" width="11.453125" style="1" customWidth="1"/>
    <col min="2" max="2" width="27.453125" style="1" customWidth="1"/>
    <col min="3" max="3" width="30.81640625" style="1" customWidth="1"/>
    <col min="4" max="4" width="7.6328125" style="1" customWidth="1"/>
    <col min="5" max="5" width="5.81640625" style="1" customWidth="1"/>
    <col min="6" max="6" width="11.453125" style="1" customWidth="1"/>
    <col min="7" max="7" width="42.453125" style="1" customWidth="1"/>
    <col min="8" max="8" width="44.36328125" style="1" customWidth="1"/>
    <col min="9" max="9" width="11.453125" style="1" customWidth="1"/>
    <col min="10" max="10" width="26.453125" style="1" customWidth="1"/>
    <col min="11" max="32" width="11.453125" style="1" customWidth="1"/>
    <col min="33" max="16384" width="11.453125" style="1"/>
  </cols>
  <sheetData>
    <row r="1" spans="1:31" ht="23.5" customHeight="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4.5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23.5" customHeight="1" x14ac:dyDescent="0.3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1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3"/>
      <c r="L4" s="5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43.5" customHeight="1" x14ac:dyDescent="0.35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7"/>
      <c r="L5" s="8"/>
      <c r="M5" s="9"/>
      <c r="N5" s="3"/>
      <c r="O5" s="3"/>
      <c r="P5" s="10" t="s">
        <v>12</v>
      </c>
      <c r="Q5" s="11" cm="1">
        <f t="array" ref="Q5">COUNTIF($L$6:$L$14,"Critique")</f>
        <v>0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71.25" customHeight="1" x14ac:dyDescent="0.35">
      <c r="A6" s="12" t="s">
        <v>13</v>
      </c>
      <c r="B6" s="12" t="s">
        <v>14</v>
      </c>
      <c r="C6" s="12" t="s">
        <v>15</v>
      </c>
      <c r="D6" s="13">
        <v>3</v>
      </c>
      <c r="E6" s="13">
        <v>4</v>
      </c>
      <c r="F6" s="12" t="s">
        <v>16</v>
      </c>
      <c r="G6" s="12" t="s">
        <v>17</v>
      </c>
      <c r="H6" s="12" t="s">
        <v>18</v>
      </c>
      <c r="I6" s="12" t="s">
        <v>19</v>
      </c>
      <c r="J6" s="12" t="s">
        <v>20</v>
      </c>
      <c r="K6" s="14" cm="1">
        <f t="array" ref="K6">D6*E6</f>
        <v>12</v>
      </c>
      <c r="L6" s="15" t="str" cm="1">
        <f t="array" ref="L6">IF(AND(K6&gt;=1,K6&lt;=4),"Faible",IF(AND(K6&gt;=5,K6&lt;=9),"Moyen",IF(AND(K6&gt;=10,K6&lt;=16),"Élevé",IF(AND(K6&gt;=17,K6&lt;=25),"Critique",""))))</f>
        <v>Élevé</v>
      </c>
      <c r="M6" s="3"/>
      <c r="N6" s="3"/>
      <c r="O6" s="3"/>
      <c r="P6" s="10" t="s">
        <v>21</v>
      </c>
      <c r="Q6" s="11" cm="1">
        <f t="array" ref="Q6">COUNTIF($L$6:$L$14,"Élevé")</f>
        <v>7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71.25" customHeight="1" x14ac:dyDescent="0.35">
      <c r="A7" s="12" t="s">
        <v>22</v>
      </c>
      <c r="B7" s="12" t="s">
        <v>23</v>
      </c>
      <c r="C7" s="12" t="s">
        <v>24</v>
      </c>
      <c r="D7" s="13">
        <v>2</v>
      </c>
      <c r="E7" s="13">
        <v>4</v>
      </c>
      <c r="F7" s="12" t="s">
        <v>25</v>
      </c>
      <c r="G7" s="12" t="s">
        <v>26</v>
      </c>
      <c r="H7" s="12" t="s">
        <v>27</v>
      </c>
      <c r="I7" s="12" t="s">
        <v>19</v>
      </c>
      <c r="J7" s="12" t="s">
        <v>28</v>
      </c>
      <c r="K7" s="14" cm="1">
        <f t="array" ref="K7">D7*E7</f>
        <v>8</v>
      </c>
      <c r="L7" s="3" t="str" cm="1">
        <f t="array" ref="L7">IF(AND(K7&gt;=1,K7&lt;=4),"Faible",IF(AND(K7&gt;=5,K7&lt;=9),"Moyen",IF(AND(K7&gt;=10,K7&lt;=16),"Élevé",IF(AND(K7&gt;=17,K7&lt;=25),"Critique",""))))</f>
        <v>Moyen</v>
      </c>
      <c r="M7" s="3"/>
      <c r="N7" s="3"/>
      <c r="O7" s="3"/>
      <c r="P7" s="10" t="s">
        <v>29</v>
      </c>
      <c r="Q7" s="11" cm="1">
        <f t="array" ref="Q7">COUNTIF($L$6:$L$14,"Moyen")</f>
        <v>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71.25" customHeight="1" x14ac:dyDescent="0.35">
      <c r="A8" s="12" t="s">
        <v>30</v>
      </c>
      <c r="B8" s="12" t="s">
        <v>31</v>
      </c>
      <c r="C8" s="12" t="s">
        <v>32</v>
      </c>
      <c r="D8" s="13">
        <v>4</v>
      </c>
      <c r="E8" s="13">
        <v>4</v>
      </c>
      <c r="F8" s="12" t="s">
        <v>33</v>
      </c>
      <c r="G8" s="12" t="s">
        <v>34</v>
      </c>
      <c r="H8" s="12" t="s">
        <v>35</v>
      </c>
      <c r="I8" s="12" t="s">
        <v>36</v>
      </c>
      <c r="J8" s="12" t="s">
        <v>37</v>
      </c>
      <c r="K8" s="14" cm="1">
        <f t="array" ref="K8">D8*E8</f>
        <v>16</v>
      </c>
      <c r="L8" s="3" t="str" cm="1">
        <f t="array" ref="L8">IF(AND(K8&gt;=1,K8&lt;=4),"Faible",IF(AND(K8&gt;=5,K8&lt;=9),"Moyen",IF(AND(K8&gt;=10,K8&lt;=16),"Élevé",IF(AND(K8&gt;=17,K8&lt;=25),"Critique",""))))</f>
        <v>Élevé</v>
      </c>
      <c r="M8" s="3"/>
      <c r="N8" s="3"/>
      <c r="O8" s="3"/>
      <c r="P8" s="10" t="s">
        <v>38</v>
      </c>
      <c r="Q8" s="11" cm="1">
        <f t="array" ref="Q8">COUNTIF($L$6:$L$14,"Faible")</f>
        <v>0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71.25" customHeight="1" x14ac:dyDescent="0.35">
      <c r="A9" s="12" t="s">
        <v>39</v>
      </c>
      <c r="B9" s="12" t="s">
        <v>40</v>
      </c>
      <c r="C9" s="12" t="s">
        <v>41</v>
      </c>
      <c r="D9" s="13">
        <v>3</v>
      </c>
      <c r="E9" s="13">
        <v>5</v>
      </c>
      <c r="F9" s="12" t="s">
        <v>42</v>
      </c>
      <c r="G9" s="12" t="s">
        <v>43</v>
      </c>
      <c r="H9" s="12" t="s">
        <v>44</v>
      </c>
      <c r="I9" s="12" t="s">
        <v>36</v>
      </c>
      <c r="J9" s="12" t="s">
        <v>45</v>
      </c>
      <c r="K9" s="14" cm="1">
        <f t="array" ref="K9">D9*E9</f>
        <v>15</v>
      </c>
      <c r="L9" s="3" t="str" cm="1">
        <f t="array" ref="L9">IF(AND(K9&gt;=1,K9&lt;=4),"Faible",IF(AND(K9&gt;=5,K9&lt;=9),"Moyen",IF(AND(K9&gt;=10,K9&lt;=16),"Élevé",IF(AND(K9&gt;=17,K9&lt;=25),"Critique",""))))</f>
        <v>Élevé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71.25" customHeight="1" x14ac:dyDescent="0.35">
      <c r="A10" s="12" t="s">
        <v>46</v>
      </c>
      <c r="B10" s="12" t="s">
        <v>382</v>
      </c>
      <c r="C10" s="12" t="s">
        <v>383</v>
      </c>
      <c r="D10" s="13">
        <v>3</v>
      </c>
      <c r="E10" s="13">
        <v>4</v>
      </c>
      <c r="F10" s="12" t="s">
        <v>16</v>
      </c>
      <c r="G10" s="12" t="s">
        <v>384</v>
      </c>
      <c r="H10" s="12" t="s">
        <v>385</v>
      </c>
      <c r="I10" s="16"/>
      <c r="J10" s="12" t="s">
        <v>386</v>
      </c>
      <c r="K10" s="14" cm="1">
        <f t="array" ref="K10">D10*E10</f>
        <v>12</v>
      </c>
      <c r="L10" s="3" t="str" cm="1">
        <f t="array" ref="L10">IF(AND(K10&gt;=1,K10&lt;=4),"Faible",IF(AND(K10&gt;=5,K10&lt;=9),"Moyen",IF(AND(K10&gt;=10,K10&lt;=16),"Élevé",IF(AND(K10&gt;=17,K10&lt;=25),"Critique",""))))</f>
        <v>Élevé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71.25" customHeight="1" x14ac:dyDescent="0.35">
      <c r="A11" s="12" t="s">
        <v>48</v>
      </c>
      <c r="B11" s="12" t="s">
        <v>387</v>
      </c>
      <c r="C11" s="12" t="s">
        <v>388</v>
      </c>
      <c r="D11" s="13">
        <v>2</v>
      </c>
      <c r="E11" s="13">
        <v>5</v>
      </c>
      <c r="F11" s="12" t="s">
        <v>49</v>
      </c>
      <c r="G11" s="12" t="s">
        <v>389</v>
      </c>
      <c r="H11" s="12" t="s">
        <v>50</v>
      </c>
      <c r="I11" s="16"/>
      <c r="J11" s="12" t="s">
        <v>390</v>
      </c>
      <c r="K11" s="14" cm="1">
        <f t="array" ref="K11">D11*E11</f>
        <v>10</v>
      </c>
      <c r="L11" s="3" t="str" cm="1">
        <f t="array" ref="L11">IF(AND(K11&gt;=1,K11&lt;=4),"Faible",IF(AND(K11&gt;=5,K11&lt;=9),"Moyen",IF(AND(K11&gt;=10,K11&lt;=16),"Élevé",IF(AND(K11&gt;=17,K11&lt;=25),"Critique",""))))</f>
        <v>Élevé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71.25" customHeight="1" x14ac:dyDescent="0.35">
      <c r="A12" s="12" t="s">
        <v>52</v>
      </c>
      <c r="B12" s="12" t="s">
        <v>53</v>
      </c>
      <c r="C12" s="12" t="s">
        <v>54</v>
      </c>
      <c r="D12" s="13">
        <v>4</v>
      </c>
      <c r="E12" s="13">
        <v>3</v>
      </c>
      <c r="F12" s="12" t="s">
        <v>16</v>
      </c>
      <c r="G12" s="12" t="s">
        <v>55</v>
      </c>
      <c r="H12" s="12" t="s">
        <v>56</v>
      </c>
      <c r="I12" s="16"/>
      <c r="J12" s="12" t="s">
        <v>391</v>
      </c>
      <c r="K12" s="14" cm="1">
        <f t="array" ref="K12">D12*E12</f>
        <v>12</v>
      </c>
      <c r="L12" s="3" t="str" cm="1">
        <f t="array" ref="L12">IF(AND(K12&gt;=1,K12&lt;=4),"Faible",IF(AND(K12&gt;=5,K12&lt;=9),"Moyen",IF(AND(K12&gt;=10,K12&lt;=16),"Élevé",IF(AND(K12&gt;=17,K12&lt;=25),"Critique",""))))</f>
        <v>Élevé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71.25" customHeight="1" thickBot="1" x14ac:dyDescent="0.4">
      <c r="A13" s="12" t="s">
        <v>57</v>
      </c>
      <c r="B13" s="12" t="s">
        <v>58</v>
      </c>
      <c r="C13" s="12" t="s">
        <v>59</v>
      </c>
      <c r="D13" s="13">
        <v>2</v>
      </c>
      <c r="E13" s="13">
        <v>5</v>
      </c>
      <c r="F13" s="12" t="s">
        <v>49</v>
      </c>
      <c r="G13" s="12" t="s">
        <v>60</v>
      </c>
      <c r="H13" s="12" t="s">
        <v>61</v>
      </c>
      <c r="I13" s="16"/>
      <c r="J13" s="12" t="s">
        <v>62</v>
      </c>
      <c r="K13" s="14" cm="1">
        <f t="array" ref="K13">D13*E13</f>
        <v>10</v>
      </c>
      <c r="L13" s="3" t="str" cm="1">
        <f t="array" ref="L13">IF(AND(K13&gt;=1,K13&lt;=4),"Faible",IF(AND(K13&gt;=5,K13&lt;=9),"Moyen",IF(AND(K13&gt;=10,K13&lt;=16),"Élevé",IF(AND(K13&gt;=17,K13&lt;=25),"Critique",""))))</f>
        <v>Élevé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71.25" customHeight="1" thickBot="1" x14ac:dyDescent="0.4">
      <c r="A14" s="12" t="s">
        <v>63</v>
      </c>
      <c r="B14" s="12" t="s">
        <v>65</v>
      </c>
      <c r="C14" s="12" t="s">
        <v>66</v>
      </c>
      <c r="D14" s="13">
        <v>3</v>
      </c>
      <c r="E14" s="13">
        <v>3</v>
      </c>
      <c r="F14" s="12" t="s">
        <v>64</v>
      </c>
      <c r="G14" s="12" t="s">
        <v>67</v>
      </c>
      <c r="H14" s="12" t="s">
        <v>68</v>
      </c>
      <c r="I14" s="16"/>
      <c r="J14" s="12" t="s">
        <v>69</v>
      </c>
      <c r="K14" s="14" cm="1">
        <f t="array" ref="K14">D14*E14</f>
        <v>9</v>
      </c>
      <c r="L14" s="3" t="str" cm="1">
        <f t="array" ref="L14">IF(AND(K14&gt;=1,K14&lt;=4),"Faible",IF(AND(K14&gt;=5,K14&lt;=9),"Moyen",IF(AND(K14&gt;=10,K14&lt;=16),"Élevé",IF(AND(K14&gt;=17,K14&lt;=25),"Critique",""))))</f>
        <v>Moyen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71.25" customHeight="1" x14ac:dyDescent="0.3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71.25" customHeight="1" x14ac:dyDescent="0.35">
      <c r="A16" s="2" t="s">
        <v>70</v>
      </c>
      <c r="B16" s="18"/>
      <c r="C16" s="18"/>
      <c r="D16" s="18"/>
      <c r="E16" s="18"/>
      <c r="F16" s="18"/>
      <c r="G16" s="18"/>
      <c r="H16" s="18"/>
      <c r="I16" s="18"/>
      <c r="J16" s="18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71.25" customHeight="1" x14ac:dyDescent="0.3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71.25" customHeight="1" thickBot="1" x14ac:dyDescent="0.4">
      <c r="A18" s="6" t="s">
        <v>2</v>
      </c>
      <c r="B18" s="6" t="s">
        <v>3</v>
      </c>
      <c r="C18" s="6" t="s">
        <v>4</v>
      </c>
      <c r="D18" s="6" t="s">
        <v>5</v>
      </c>
      <c r="E18" s="6" t="s">
        <v>6</v>
      </c>
      <c r="F18" s="6" t="s">
        <v>7</v>
      </c>
      <c r="G18" s="6" t="s">
        <v>71</v>
      </c>
      <c r="H18" s="6" t="s">
        <v>72</v>
      </c>
      <c r="I18" s="6" t="s">
        <v>10</v>
      </c>
      <c r="J18" s="6" t="s">
        <v>73</v>
      </c>
      <c r="K18" s="20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71.25" customHeight="1" thickBot="1" x14ac:dyDescent="0.4">
      <c r="A19" s="12" t="s">
        <v>74</v>
      </c>
      <c r="B19" s="12" t="s">
        <v>76</v>
      </c>
      <c r="C19" s="12" t="s">
        <v>77</v>
      </c>
      <c r="D19" s="13">
        <v>3</v>
      </c>
      <c r="E19" s="13">
        <v>4</v>
      </c>
      <c r="F19" s="12" t="s">
        <v>16</v>
      </c>
      <c r="G19" s="12" t="s">
        <v>78</v>
      </c>
      <c r="H19" s="12" t="s">
        <v>79</v>
      </c>
      <c r="I19" s="16"/>
      <c r="J19" s="12" t="s">
        <v>80</v>
      </c>
      <c r="K19" s="14" cm="1">
        <f t="array" ref="K19">D19*E19</f>
        <v>12</v>
      </c>
      <c r="L19" s="3" t="str" cm="1">
        <f t="array" ref="L19">IF(AND(K19&gt;=1,K19&lt;=4),"Faible",IF(AND(K19&gt;=5,K19&lt;=9),"Moyen",IF(AND(K19&gt;=10,K19&lt;=16),"Élevé",IF(AND(K19&gt;=17,K19&lt;=25),"Critique",""))))</f>
        <v>Élevé</v>
      </c>
      <c r="M19" s="3"/>
      <c r="N19" s="3"/>
      <c r="O19" s="10" t="s">
        <v>12</v>
      </c>
      <c r="P19" s="11" cm="1">
        <f t="array" ref="P19">COUNTIF($L$19:$L$28,"Critique")</f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71.25" customHeight="1" thickBot="1" x14ac:dyDescent="0.4">
      <c r="A20" s="12" t="s">
        <v>75</v>
      </c>
      <c r="B20" s="12" t="s">
        <v>82</v>
      </c>
      <c r="C20" s="12" t="s">
        <v>83</v>
      </c>
      <c r="D20" s="13">
        <v>4</v>
      </c>
      <c r="E20" s="13">
        <v>2</v>
      </c>
      <c r="F20" s="12" t="s">
        <v>25</v>
      </c>
      <c r="G20" s="12" t="s">
        <v>84</v>
      </c>
      <c r="H20" s="12" t="s">
        <v>85</v>
      </c>
      <c r="I20" s="16"/>
      <c r="J20" s="12" t="s">
        <v>80</v>
      </c>
      <c r="K20" s="14" cm="1">
        <f t="array" ref="K20">D20*E20</f>
        <v>8</v>
      </c>
      <c r="L20" s="3" t="str" cm="1">
        <f t="array" ref="L20">IF(AND(K20&gt;=1,K20&lt;=4),"Faible",IF(AND(K20&gt;=5,K20&lt;=9),"Moyen",IF(AND(K20&gt;=10,K20&lt;=16),"Élevé",IF(AND(K20&gt;=17,K20&lt;=25),"Critique",""))))</f>
        <v>Moyen</v>
      </c>
      <c r="M20" s="3"/>
      <c r="N20" s="3"/>
      <c r="O20" s="10" t="s">
        <v>21</v>
      </c>
      <c r="P20" s="11" cm="1">
        <f t="array" ref="P20">COUNTIF($L$19:$L$28,"Élevé")</f>
        <v>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71.25" customHeight="1" thickBot="1" x14ac:dyDescent="0.4">
      <c r="A21" s="12" t="s">
        <v>81</v>
      </c>
      <c r="B21" s="12" t="s">
        <v>87</v>
      </c>
      <c r="C21" s="12" t="s">
        <v>88</v>
      </c>
      <c r="D21" s="13">
        <v>3</v>
      </c>
      <c r="E21" s="13">
        <v>3</v>
      </c>
      <c r="F21" s="12" t="s">
        <v>64</v>
      </c>
      <c r="G21" s="12" t="s">
        <v>392</v>
      </c>
      <c r="H21" s="12" t="s">
        <v>89</v>
      </c>
      <c r="I21" s="16"/>
      <c r="J21" s="12" t="s">
        <v>90</v>
      </c>
      <c r="K21" s="14" cm="1">
        <f t="array" ref="K21">D21*E21</f>
        <v>9</v>
      </c>
      <c r="L21" s="3" t="str" cm="1">
        <f t="array" ref="L21">IF(AND(K21&gt;=1,K21&lt;=4),"Faible",IF(AND(K21&gt;=5,K21&lt;=9),"Moyen",IF(AND(K21&gt;=10,K21&lt;=16),"Élevé",IF(AND(K21&gt;=17,K21&lt;=25),"Critique",""))))</f>
        <v>Moyen</v>
      </c>
      <c r="M21" s="3"/>
      <c r="N21" s="3"/>
      <c r="O21" s="10" t="s">
        <v>29</v>
      </c>
      <c r="P21" s="11" cm="1">
        <f t="array" ref="P21">COUNTIF($L$19:$L$28,"Moyen")</f>
        <v>6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71.25" customHeight="1" thickBot="1" x14ac:dyDescent="0.4">
      <c r="A22" s="12" t="s">
        <v>86</v>
      </c>
      <c r="B22" s="12" t="s">
        <v>393</v>
      </c>
      <c r="C22" s="12" t="s">
        <v>394</v>
      </c>
      <c r="D22" s="13">
        <v>2</v>
      </c>
      <c r="E22" s="13">
        <v>4</v>
      </c>
      <c r="F22" s="12" t="s">
        <v>25</v>
      </c>
      <c r="G22" s="12" t="s">
        <v>395</v>
      </c>
      <c r="H22" s="12" t="s">
        <v>396</v>
      </c>
      <c r="I22" s="16"/>
      <c r="J22" s="12" t="s">
        <v>92</v>
      </c>
      <c r="K22" s="14" cm="1">
        <f t="array" ref="K22">D22*E22</f>
        <v>8</v>
      </c>
      <c r="L22" s="3" t="str" cm="1">
        <f t="array" ref="L22">IF(AND(K22&gt;=1,K22&lt;=4),"Faible",IF(AND(K22&gt;=5,K22&lt;=9),"Moyen",IF(AND(K22&gt;=10,K22&lt;=16),"Élevé",IF(AND(K22&gt;=17,K22&lt;=25),"Critique",""))))</f>
        <v>Moyen</v>
      </c>
      <c r="M22" s="3"/>
      <c r="N22" s="3"/>
      <c r="O22" s="10" t="s">
        <v>38</v>
      </c>
      <c r="P22" s="11" cm="1">
        <f t="array" ref="P22">COUNTIF($L$19:$L$28,"Faible")</f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71.25" customHeight="1" thickBot="1" x14ac:dyDescent="0.4">
      <c r="A23" s="12" t="s">
        <v>91</v>
      </c>
      <c r="B23" s="12" t="s">
        <v>94</v>
      </c>
      <c r="C23" s="12" t="s">
        <v>95</v>
      </c>
      <c r="D23" s="13">
        <v>2</v>
      </c>
      <c r="E23" s="13">
        <v>5</v>
      </c>
      <c r="F23" s="12" t="s">
        <v>49</v>
      </c>
      <c r="G23" s="12" t="s">
        <v>96</v>
      </c>
      <c r="H23" s="12" t="s">
        <v>97</v>
      </c>
      <c r="I23" s="16"/>
      <c r="J23" s="12" t="s">
        <v>90</v>
      </c>
      <c r="K23" s="14" cm="1">
        <f t="array" ref="K23">D23*E23</f>
        <v>10</v>
      </c>
      <c r="L23" s="3" t="str" cm="1">
        <f t="array" ref="L23">IF(AND(K23&gt;=1,K23&lt;=4),"Faible",IF(AND(K23&gt;=5,K23&lt;=9),"Moyen",IF(AND(K23&gt;=10,K23&lt;=16),"Élevé",IF(AND(K23&gt;=17,K23&lt;=25),"Critique",""))))</f>
        <v>Élevé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71.25" customHeight="1" thickBot="1" x14ac:dyDescent="0.4">
      <c r="A24" s="12" t="s">
        <v>93</v>
      </c>
      <c r="B24" s="12" t="s">
        <v>99</v>
      </c>
      <c r="C24" s="12" t="s">
        <v>100</v>
      </c>
      <c r="D24" s="13">
        <v>3</v>
      </c>
      <c r="E24" s="13">
        <v>4</v>
      </c>
      <c r="F24" s="12" t="s">
        <v>16</v>
      </c>
      <c r="G24" s="12" t="s">
        <v>101</v>
      </c>
      <c r="H24" s="12" t="s">
        <v>397</v>
      </c>
      <c r="I24" s="16"/>
      <c r="J24" s="12" t="s">
        <v>90</v>
      </c>
      <c r="K24" s="14" cm="1">
        <f t="array" ref="K24">D24*E24</f>
        <v>12</v>
      </c>
      <c r="L24" s="3" t="str" cm="1">
        <f t="array" ref="L24">IF(AND(K24&gt;=1,K24&lt;=4),"Faible",IF(AND(K24&gt;=5,K24&lt;=9),"Moyen",IF(AND(K24&gt;=10,K24&lt;=16),"Élevé",IF(AND(K24&gt;=17,K24&lt;=25),"Critique",""))))</f>
        <v>Élevé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71.25" customHeight="1" thickBot="1" x14ac:dyDescent="0.4">
      <c r="A25" s="12" t="s">
        <v>98</v>
      </c>
      <c r="B25" s="12" t="s">
        <v>104</v>
      </c>
      <c r="C25" s="12" t="s">
        <v>47</v>
      </c>
      <c r="D25" s="13">
        <v>3</v>
      </c>
      <c r="E25" s="13">
        <v>4</v>
      </c>
      <c r="F25" s="12" t="s">
        <v>16</v>
      </c>
      <c r="G25" s="12" t="s">
        <v>105</v>
      </c>
      <c r="H25" s="12" t="s">
        <v>106</v>
      </c>
      <c r="I25" s="16"/>
      <c r="J25" s="12" t="s">
        <v>37</v>
      </c>
      <c r="K25" s="14" cm="1">
        <f t="array" ref="K25">D25*E25</f>
        <v>12</v>
      </c>
      <c r="L25" s="3" t="str" cm="1">
        <f t="array" ref="L25">IF(AND(K25&gt;=1,K25&lt;=4),"Faible",IF(AND(K25&gt;=5,K25&lt;=9),"Moyen",IF(AND(K25&gt;=10,K25&lt;=16),"Élevé",IF(AND(K25&gt;=17,K25&lt;=25),"Critique",""))))</f>
        <v>Élevé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71.25" customHeight="1" thickBot="1" x14ac:dyDescent="0.4">
      <c r="A26" s="12" t="s">
        <v>102</v>
      </c>
      <c r="B26" s="12" t="s">
        <v>108</v>
      </c>
      <c r="C26" s="12" t="s">
        <v>109</v>
      </c>
      <c r="D26" s="13">
        <v>3</v>
      </c>
      <c r="E26" s="13">
        <v>3</v>
      </c>
      <c r="F26" s="12" t="s">
        <v>64</v>
      </c>
      <c r="G26" s="12" t="s">
        <v>110</v>
      </c>
      <c r="H26" s="12" t="s">
        <v>111</v>
      </c>
      <c r="I26" s="16"/>
      <c r="J26" s="12" t="s">
        <v>90</v>
      </c>
      <c r="K26" s="14" cm="1">
        <f t="array" ref="K26">D26*E26</f>
        <v>9</v>
      </c>
      <c r="L26" s="3" t="str" cm="1">
        <f t="array" ref="L26">IF(AND(K26&gt;=1,K26&lt;=4),"Faible",IF(AND(K26&gt;=5,K26&lt;=9),"Moyen",IF(AND(K26&gt;=10,K26&lt;=16),"Élevé",IF(AND(K26&gt;=17,K26&lt;=25),"Critique",""))))</f>
        <v>Moyen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71.25" customHeight="1" thickBot="1" x14ac:dyDescent="0.4">
      <c r="A27" s="12" t="s">
        <v>103</v>
      </c>
      <c r="B27" s="12" t="s">
        <v>112</v>
      </c>
      <c r="C27" s="12" t="s">
        <v>113</v>
      </c>
      <c r="D27" s="13">
        <v>3</v>
      </c>
      <c r="E27" s="13">
        <v>3</v>
      </c>
      <c r="F27" s="12" t="s">
        <v>64</v>
      </c>
      <c r="G27" s="12" t="s">
        <v>114</v>
      </c>
      <c r="H27" s="12" t="s">
        <v>115</v>
      </c>
      <c r="I27" s="16"/>
      <c r="J27" s="12" t="s">
        <v>90</v>
      </c>
      <c r="K27" s="14" cm="1">
        <f t="array" ref="K27">D27*E27</f>
        <v>9</v>
      </c>
      <c r="L27" s="3" t="str" cm="1">
        <f t="array" ref="L27">IF(AND(K27&gt;=1,K27&lt;=4),"Faible",IF(AND(K27&gt;=5,K27&lt;=9),"Moyen",IF(AND(K27&gt;=10,K27&lt;=16),"Élevé",IF(AND(K27&gt;=17,K27&lt;=25),"Critique",""))))</f>
        <v>Moyen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71.25" customHeight="1" thickBot="1" x14ac:dyDescent="0.4">
      <c r="A28" s="12" t="s">
        <v>107</v>
      </c>
      <c r="B28" s="12" t="s">
        <v>116</v>
      </c>
      <c r="C28" s="12" t="s">
        <v>117</v>
      </c>
      <c r="D28" s="13">
        <v>2</v>
      </c>
      <c r="E28" s="13">
        <v>4</v>
      </c>
      <c r="F28" s="12" t="s">
        <v>25</v>
      </c>
      <c r="G28" s="12" t="s">
        <v>398</v>
      </c>
      <c r="H28" s="12" t="s">
        <v>118</v>
      </c>
      <c r="I28" s="16"/>
      <c r="J28" s="12" t="s">
        <v>399</v>
      </c>
      <c r="K28" s="14" cm="1">
        <f t="array" ref="K28">D28*E28</f>
        <v>8</v>
      </c>
      <c r="L28" s="3" t="str" cm="1">
        <f t="array" ref="L28">IF(AND(K28&gt;=1,K28&lt;=4),"Faible",IF(AND(K28&gt;=5,K28&lt;=9),"Moyen",IF(AND(K28&gt;=10,K28&lt;=16),"Élevé",IF(AND(K28&gt;=17,K28&lt;=25),"Critique",""))))</f>
        <v>Moyen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71.25" customHeight="1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71.25" customHeight="1" x14ac:dyDescent="0.35">
      <c r="A30" s="2" t="s">
        <v>119</v>
      </c>
      <c r="B30" s="18"/>
      <c r="C30" s="18"/>
      <c r="D30" s="18"/>
      <c r="E30" s="18"/>
      <c r="F30" s="18"/>
      <c r="G30" s="18"/>
      <c r="H30" s="18"/>
      <c r="I30" s="18"/>
      <c r="J30" s="18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71.25" customHeight="1" thickBot="1" x14ac:dyDescent="0.4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71.25" customHeight="1" thickBot="1" x14ac:dyDescent="0.4">
      <c r="A32" s="6" t="s">
        <v>2</v>
      </c>
      <c r="B32" s="6" t="s">
        <v>120</v>
      </c>
      <c r="C32" s="6" t="s">
        <v>4</v>
      </c>
      <c r="D32" s="6" t="s">
        <v>5</v>
      </c>
      <c r="E32" s="6" t="s">
        <v>6</v>
      </c>
      <c r="F32" s="6" t="s">
        <v>121</v>
      </c>
      <c r="G32" s="6" t="s">
        <v>122</v>
      </c>
      <c r="H32" s="6" t="s">
        <v>72</v>
      </c>
      <c r="I32" s="6" t="s">
        <v>10</v>
      </c>
      <c r="J32" s="6" t="s">
        <v>123</v>
      </c>
      <c r="K32" s="20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71.25" customHeight="1" thickBot="1" x14ac:dyDescent="0.4">
      <c r="A33" s="12" t="s">
        <v>124</v>
      </c>
      <c r="B33" s="12" t="s">
        <v>125</v>
      </c>
      <c r="C33" s="12" t="s">
        <v>126</v>
      </c>
      <c r="D33" s="13">
        <v>3</v>
      </c>
      <c r="E33" s="13">
        <v>4</v>
      </c>
      <c r="F33" s="12" t="s">
        <v>16</v>
      </c>
      <c r="G33" s="12" t="s">
        <v>127</v>
      </c>
      <c r="H33" s="12" t="s">
        <v>128</v>
      </c>
      <c r="I33" s="16"/>
      <c r="J33" s="12" t="s">
        <v>80</v>
      </c>
      <c r="K33" s="14" cm="1">
        <f t="array" ref="K33">D33*E33</f>
        <v>12</v>
      </c>
      <c r="L33" s="3" t="str" cm="1">
        <f t="array" ref="L33">IF(AND(K33&gt;=1,K33&lt;=4),"Faible",IF(AND(K33&gt;=5,K33&lt;=9),"Moyen",IF(AND(K33&gt;=10,K33&lt;=16),"Élevé",IF(AND(K33&gt;=17,K33&lt;=25),"Critique",""))))</f>
        <v>Élevé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71.25" customHeight="1" thickBot="1" x14ac:dyDescent="0.4">
      <c r="A34" s="12" t="s">
        <v>129</v>
      </c>
      <c r="B34" s="12" t="s">
        <v>130</v>
      </c>
      <c r="C34" s="12" t="s">
        <v>131</v>
      </c>
      <c r="D34" s="13">
        <v>3</v>
      </c>
      <c r="E34" s="13">
        <v>4</v>
      </c>
      <c r="F34" s="12" t="s">
        <v>16</v>
      </c>
      <c r="G34" s="12" t="s">
        <v>132</v>
      </c>
      <c r="H34" s="12" t="s">
        <v>133</v>
      </c>
      <c r="I34" s="16"/>
      <c r="J34" s="12" t="s">
        <v>51</v>
      </c>
      <c r="K34" s="14" cm="1">
        <f t="array" ref="K34">D34*E34</f>
        <v>12</v>
      </c>
      <c r="L34" s="3" t="str" cm="1">
        <f t="array" ref="L34">IF(AND(K34&gt;=1,K34&lt;=4),"Faible",IF(AND(K34&gt;=5,K34&lt;=9),"Moyen",IF(AND(K34&gt;=10,K34&lt;=16),"Élevé",IF(AND(K34&gt;=17,K34&lt;=25),"Critique",""))))</f>
        <v>Élevé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71.25" customHeight="1" thickBot="1" x14ac:dyDescent="0.4">
      <c r="A35" s="12" t="s">
        <v>134</v>
      </c>
      <c r="B35" s="12" t="s">
        <v>135</v>
      </c>
      <c r="C35" s="12" t="s">
        <v>136</v>
      </c>
      <c r="D35" s="13">
        <v>4</v>
      </c>
      <c r="E35" s="13">
        <v>3</v>
      </c>
      <c r="F35" s="12" t="s">
        <v>16</v>
      </c>
      <c r="G35" s="12" t="s">
        <v>137</v>
      </c>
      <c r="H35" s="12" t="s">
        <v>138</v>
      </c>
      <c r="I35" s="16"/>
      <c r="J35" s="12" t="s">
        <v>80</v>
      </c>
      <c r="K35" s="14" cm="1">
        <f t="array" ref="K35">D35*E35</f>
        <v>12</v>
      </c>
      <c r="L35" s="3" t="str" cm="1">
        <f t="array" ref="L35">IF(AND(K35&gt;=1,K35&lt;=4),"Faible",IF(AND(K35&gt;=5,K35&lt;=9),"Moyen",IF(AND(K35&gt;=10,K35&lt;=16),"Élevé",IF(AND(K35&gt;=17,K35&lt;=25),"Critique",""))))</f>
        <v>Élevé</v>
      </c>
      <c r="M35" s="3"/>
      <c r="N35" s="10" t="s">
        <v>12</v>
      </c>
      <c r="O35" s="11" cm="1">
        <f t="array" ref="O35">COUNTIF($L$33:$L$41,"Critique")</f>
        <v>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71.25" customHeight="1" thickBot="1" x14ac:dyDescent="0.4">
      <c r="A36" s="12" t="s">
        <v>139</v>
      </c>
      <c r="B36" s="12" t="s">
        <v>400</v>
      </c>
      <c r="C36" s="12" t="s">
        <v>401</v>
      </c>
      <c r="D36" s="13">
        <v>2</v>
      </c>
      <c r="E36" s="13">
        <v>4</v>
      </c>
      <c r="F36" s="12" t="s">
        <v>25</v>
      </c>
      <c r="G36" s="12" t="s">
        <v>402</v>
      </c>
      <c r="H36" s="12" t="s">
        <v>140</v>
      </c>
      <c r="I36" s="16"/>
      <c r="J36" s="12" t="s">
        <v>90</v>
      </c>
      <c r="K36" s="14" cm="1">
        <f t="array" ref="K36">D36*E36</f>
        <v>8</v>
      </c>
      <c r="L36" s="3" t="str" cm="1">
        <f t="array" ref="L36">IF(AND(K36&gt;=1,K36&lt;=4),"Faible",IF(AND(K36&gt;=5,K36&lt;=9),"Moyen",IF(AND(K36&gt;=10,K36&lt;=16),"Élevé",IF(AND(K36&gt;=17,K36&lt;=25),"Critique",""))))</f>
        <v>Moyen</v>
      </c>
      <c r="M36" s="3"/>
      <c r="N36" s="10" t="s">
        <v>21</v>
      </c>
      <c r="O36" s="11" cm="1">
        <f t="array" ref="O36">COUNTIF($L$33:$L$41,"Élevé")</f>
        <v>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71.25" customHeight="1" thickBot="1" x14ac:dyDescent="0.4">
      <c r="A37" s="12" t="s">
        <v>141</v>
      </c>
      <c r="B37" s="12" t="s">
        <v>142</v>
      </c>
      <c r="C37" s="12" t="s">
        <v>143</v>
      </c>
      <c r="D37" s="13">
        <v>2</v>
      </c>
      <c r="E37" s="13">
        <v>4</v>
      </c>
      <c r="F37" s="12" t="s">
        <v>25</v>
      </c>
      <c r="G37" s="12" t="s">
        <v>144</v>
      </c>
      <c r="H37" s="12" t="s">
        <v>145</v>
      </c>
      <c r="I37" s="16"/>
      <c r="J37" s="12" t="s">
        <v>90</v>
      </c>
      <c r="K37" s="14" cm="1">
        <f t="array" ref="K37">D37*E37</f>
        <v>8</v>
      </c>
      <c r="L37" s="3" t="str" cm="1">
        <f t="array" ref="L37">IF(AND(K37&gt;=1,K37&lt;=4),"Faible",IF(AND(K37&gt;=5,K37&lt;=9),"Moyen",IF(AND(K37&gt;=10,K37&lt;=16),"Élevé",IF(AND(K37&gt;=17,K37&lt;=25),"Critique",""))))</f>
        <v>Moyen</v>
      </c>
      <c r="M37" s="3"/>
      <c r="N37" s="10" t="s">
        <v>29</v>
      </c>
      <c r="O37" s="11" cm="1">
        <f t="array" ref="O37">COUNTIF($L$33:$L$41,"Moyen")</f>
        <v>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71.25" customHeight="1" thickBot="1" x14ac:dyDescent="0.4">
      <c r="A38" s="12" t="s">
        <v>146</v>
      </c>
      <c r="B38" s="12" t="s">
        <v>147</v>
      </c>
      <c r="C38" s="12" t="s">
        <v>148</v>
      </c>
      <c r="D38" s="13">
        <v>2</v>
      </c>
      <c r="E38" s="13">
        <v>3</v>
      </c>
      <c r="F38" s="12" t="s">
        <v>149</v>
      </c>
      <c r="G38" s="12" t="s">
        <v>150</v>
      </c>
      <c r="H38" s="12" t="s">
        <v>151</v>
      </c>
      <c r="I38" s="16"/>
      <c r="J38" s="12" t="s">
        <v>90</v>
      </c>
      <c r="K38" s="14" cm="1">
        <f t="array" ref="K38">D38*E38</f>
        <v>6</v>
      </c>
      <c r="L38" s="3" t="str" cm="1">
        <f t="array" ref="L38">IF(AND(K38&gt;=1,K38&lt;=4),"Faible",IF(AND(K38&gt;=5,K38&lt;=9),"Moyen",IF(AND(K38&gt;=10,K38&lt;=16),"Élevé",IF(AND(K38&gt;=17,K38&lt;=25),"Critique",""))))</f>
        <v>Moyen</v>
      </c>
      <c r="M38" s="3"/>
      <c r="N38" s="10" t="s">
        <v>38</v>
      </c>
      <c r="O38" s="11" cm="1">
        <f t="array" ref="O38">COUNTIF($L$33:$L$41,"Faible")</f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71.25" customHeight="1" thickBot="1" x14ac:dyDescent="0.4">
      <c r="A39" s="12" t="s">
        <v>152</v>
      </c>
      <c r="B39" s="12" t="s">
        <v>403</v>
      </c>
      <c r="C39" s="12" t="s">
        <v>153</v>
      </c>
      <c r="D39" s="13">
        <v>2</v>
      </c>
      <c r="E39" s="13">
        <v>3</v>
      </c>
      <c r="F39" s="12" t="s">
        <v>149</v>
      </c>
      <c r="G39" s="12" t="s">
        <v>404</v>
      </c>
      <c r="H39" s="12" t="s">
        <v>154</v>
      </c>
      <c r="I39" s="16"/>
      <c r="J39" s="12" t="s">
        <v>90</v>
      </c>
      <c r="K39" s="14" cm="1">
        <f t="array" ref="K39">D39*E39</f>
        <v>6</v>
      </c>
      <c r="L39" s="3" t="str" cm="1">
        <f t="array" ref="L39">IF(AND(K39&gt;=1,K39&lt;=4),"Faible",IF(AND(K39&gt;=5,K39&lt;=9),"Moyen",IF(AND(K39&gt;=10,K39&lt;=16),"Élevé",IF(AND(K39&gt;=17,K39&lt;=25),"Critique",""))))</f>
        <v>Moyen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71.25" customHeight="1" thickBot="1" x14ac:dyDescent="0.4">
      <c r="A40" s="12" t="s">
        <v>155</v>
      </c>
      <c r="B40" s="12" t="s">
        <v>405</v>
      </c>
      <c r="C40" s="12" t="s">
        <v>156</v>
      </c>
      <c r="D40" s="13">
        <v>3</v>
      </c>
      <c r="E40" s="13">
        <v>3</v>
      </c>
      <c r="F40" s="12" t="s">
        <v>64</v>
      </c>
      <c r="G40" s="12" t="s">
        <v>157</v>
      </c>
      <c r="H40" s="12" t="s">
        <v>158</v>
      </c>
      <c r="I40" s="16"/>
      <c r="J40" s="12" t="s">
        <v>159</v>
      </c>
      <c r="K40" s="14" cm="1">
        <f t="array" ref="K40">D40*E40</f>
        <v>9</v>
      </c>
      <c r="L40" s="3" t="str" cm="1">
        <f t="array" ref="L40">IF(AND(K40&gt;=1,K40&lt;=4),"Faible",IF(AND(K40&gt;=5,K40&lt;=9),"Moyen",IF(AND(K40&gt;=10,K40&lt;=16),"Élevé",IF(AND(K40&gt;=17,K40&lt;=25),"Critique",""))))</f>
        <v>Moyen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71.25" customHeight="1" thickBot="1" x14ac:dyDescent="0.4">
      <c r="A41" s="12" t="s">
        <v>160</v>
      </c>
      <c r="B41" s="12" t="s">
        <v>161</v>
      </c>
      <c r="C41" s="12" t="s">
        <v>162</v>
      </c>
      <c r="D41" s="13">
        <v>3</v>
      </c>
      <c r="E41" s="13">
        <v>3</v>
      </c>
      <c r="F41" s="12" t="s">
        <v>64</v>
      </c>
      <c r="G41" s="12" t="s">
        <v>163</v>
      </c>
      <c r="H41" s="12" t="s">
        <v>164</v>
      </c>
      <c r="I41" s="16"/>
      <c r="J41" s="12" t="s">
        <v>51</v>
      </c>
      <c r="K41" s="14" cm="1">
        <f t="array" ref="K41">D41*E41</f>
        <v>9</v>
      </c>
      <c r="L41" s="3" t="str" cm="1">
        <f t="array" ref="L41">IF(AND(K41&gt;=1,K41&lt;=4),"Faible",IF(AND(K41&gt;=5,K41&lt;=9),"Moyen",IF(AND(K41&gt;=10,K41&lt;=16),"Élevé",IF(AND(K41&gt;=17,K41&lt;=25),"Critique",""))))</f>
        <v>Moyen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71.25" customHeight="1" x14ac:dyDescent="0.35">
      <c r="A42" s="21"/>
      <c r="B42" s="17"/>
      <c r="C42" s="17"/>
      <c r="D42" s="21"/>
      <c r="E42" s="21"/>
      <c r="F42" s="21"/>
      <c r="G42" s="17"/>
      <c r="H42" s="17"/>
      <c r="I42" s="21"/>
      <c r="J42" s="2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71.25" customHeight="1" x14ac:dyDescent="0.35">
      <c r="A43" s="2" t="s">
        <v>165</v>
      </c>
      <c r="B43" s="18"/>
      <c r="C43" s="18"/>
      <c r="D43" s="18"/>
      <c r="E43" s="18"/>
      <c r="F43" s="18"/>
      <c r="G43" s="18"/>
      <c r="H43" s="18"/>
      <c r="I43" s="18"/>
      <c r="J43" s="18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71.25" customHeight="1" thickBot="1" x14ac:dyDescent="0.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71.25" customHeight="1" thickBot="1" x14ac:dyDescent="0.4">
      <c r="A45" s="6" t="s">
        <v>2</v>
      </c>
      <c r="B45" s="6" t="s">
        <v>120</v>
      </c>
      <c r="C45" s="6" t="s">
        <v>4</v>
      </c>
      <c r="D45" s="6" t="s">
        <v>5</v>
      </c>
      <c r="E45" s="6" t="s">
        <v>6</v>
      </c>
      <c r="F45" s="6" t="s">
        <v>121</v>
      </c>
      <c r="G45" s="6" t="s">
        <v>122</v>
      </c>
      <c r="H45" s="6" t="s">
        <v>72</v>
      </c>
      <c r="I45" s="6" t="s">
        <v>10</v>
      </c>
      <c r="J45" s="6" t="s">
        <v>123</v>
      </c>
      <c r="K45" s="20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71.25" customHeight="1" thickBot="1" x14ac:dyDescent="0.4">
      <c r="A46" s="12" t="s">
        <v>166</v>
      </c>
      <c r="B46" s="12" t="s">
        <v>167</v>
      </c>
      <c r="C46" s="12" t="s">
        <v>168</v>
      </c>
      <c r="D46" s="13">
        <v>4</v>
      </c>
      <c r="E46" s="13">
        <v>3</v>
      </c>
      <c r="F46" s="12" t="s">
        <v>16</v>
      </c>
      <c r="G46" s="12" t="s">
        <v>169</v>
      </c>
      <c r="H46" s="12" t="s">
        <v>170</v>
      </c>
      <c r="I46" s="16"/>
      <c r="J46" s="12" t="s">
        <v>80</v>
      </c>
      <c r="K46" s="14" cm="1">
        <f t="array" ref="K46">D46*E46</f>
        <v>12</v>
      </c>
      <c r="L46" s="3" t="str" cm="1">
        <f t="array" ref="L46">IF(AND(K46&gt;=1,K46&lt;=4),"Faible",IF(AND(K46&gt;=5,K46&lt;=9),"Moyen",IF(AND(K46&gt;=10,K46&lt;=16),"Élevé",IF(AND(K46&gt;=17,K46&lt;=25),"Critique",""))))</f>
        <v>Élevé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71.25" customHeight="1" thickBot="1" x14ac:dyDescent="0.4">
      <c r="A47" s="12" t="s">
        <v>171</v>
      </c>
      <c r="B47" s="12" t="s">
        <v>172</v>
      </c>
      <c r="C47" s="12" t="s">
        <v>173</v>
      </c>
      <c r="D47" s="13">
        <v>3</v>
      </c>
      <c r="E47" s="13">
        <v>3</v>
      </c>
      <c r="F47" s="12" t="s">
        <v>64</v>
      </c>
      <c r="G47" s="12" t="s">
        <v>174</v>
      </c>
      <c r="H47" s="12" t="s">
        <v>175</v>
      </c>
      <c r="I47" s="16"/>
      <c r="J47" s="12" t="s">
        <v>80</v>
      </c>
      <c r="K47" s="14" cm="1">
        <f t="array" ref="K47">D47*E47</f>
        <v>9</v>
      </c>
      <c r="L47" s="3" t="str" cm="1">
        <f t="array" ref="L47">IF(AND(K47&gt;=1,K47&lt;=4),"Faible",IF(AND(K47&gt;=5,K47&lt;=9),"Moyen",IF(AND(K47&gt;=10,K47&lt;=16),"Élevé",IF(AND(K47&gt;=17,K47&lt;=25),"Critique",""))))</f>
        <v>Moyen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71.25" customHeight="1" thickBot="1" x14ac:dyDescent="0.4">
      <c r="A48" s="12" t="s">
        <v>176</v>
      </c>
      <c r="B48" s="12" t="s">
        <v>177</v>
      </c>
      <c r="C48" s="12" t="s">
        <v>178</v>
      </c>
      <c r="D48" s="13">
        <v>2</v>
      </c>
      <c r="E48" s="13">
        <v>4</v>
      </c>
      <c r="F48" s="12" t="s">
        <v>25</v>
      </c>
      <c r="G48" s="12" t="s">
        <v>179</v>
      </c>
      <c r="H48" s="12" t="s">
        <v>180</v>
      </c>
      <c r="I48" s="16"/>
      <c r="J48" s="12" t="s">
        <v>90</v>
      </c>
      <c r="K48" s="14" cm="1">
        <f t="array" ref="K48">D48*E48</f>
        <v>8</v>
      </c>
      <c r="L48" s="3" t="str" cm="1">
        <f t="array" ref="L48">IF(AND(K48&gt;=1,K48&lt;=4),"Faible",IF(AND(K48&gt;=5,K48&lt;=9),"Moyen",IF(AND(K48&gt;=10,K48&lt;=16),"Élevé",IF(AND(K48&gt;=17,K48&lt;=25),"Critique",""))))</f>
        <v>Moyen</v>
      </c>
      <c r="M48" s="3"/>
      <c r="N48" s="10" t="s">
        <v>12</v>
      </c>
      <c r="O48" s="11" cm="1">
        <f t="array" ref="O48">COUNTIF($L$46:$L$51,"Critique")</f>
        <v>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71.25" customHeight="1" thickBot="1" x14ac:dyDescent="0.4">
      <c r="A49" s="12" t="s">
        <v>181</v>
      </c>
      <c r="B49" s="12" t="s">
        <v>182</v>
      </c>
      <c r="C49" s="12" t="s">
        <v>183</v>
      </c>
      <c r="D49" s="13">
        <v>3</v>
      </c>
      <c r="E49" s="13">
        <v>3</v>
      </c>
      <c r="F49" s="12" t="s">
        <v>64</v>
      </c>
      <c r="G49" s="12" t="s">
        <v>184</v>
      </c>
      <c r="H49" s="12" t="s">
        <v>185</v>
      </c>
      <c r="I49" s="16"/>
      <c r="J49" s="12" t="s">
        <v>92</v>
      </c>
      <c r="K49" s="14" cm="1">
        <f t="array" ref="K49">D49*E49</f>
        <v>9</v>
      </c>
      <c r="L49" s="3" t="str" cm="1">
        <f t="array" ref="L49">IF(AND(K49&gt;=1,K49&lt;=4),"Faible",IF(AND(K49&gt;=5,K49&lt;=9),"Moyen",IF(AND(K49&gt;=10,K49&lt;=16),"Élevé",IF(AND(K49&gt;=17,K49&lt;=25),"Critique",""))))</f>
        <v>Moyen</v>
      </c>
      <c r="M49" s="3"/>
      <c r="N49" s="10" t="s">
        <v>21</v>
      </c>
      <c r="O49" s="11" cm="1">
        <f t="array" ref="O49">COUNTIF($L$46:$L$51,"Élevé")</f>
        <v>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71.25" customHeight="1" thickBot="1" x14ac:dyDescent="0.4">
      <c r="A50" s="12" t="s">
        <v>186</v>
      </c>
      <c r="B50" s="12" t="s">
        <v>187</v>
      </c>
      <c r="C50" s="12" t="s">
        <v>188</v>
      </c>
      <c r="D50" s="13">
        <v>3</v>
      </c>
      <c r="E50" s="13">
        <v>2</v>
      </c>
      <c r="F50" s="12" t="s">
        <v>149</v>
      </c>
      <c r="G50" s="12" t="s">
        <v>189</v>
      </c>
      <c r="H50" s="12" t="s">
        <v>190</v>
      </c>
      <c r="I50" s="16"/>
      <c r="J50" s="12" t="s">
        <v>80</v>
      </c>
      <c r="K50" s="14" cm="1">
        <f t="array" ref="K50">D50*E50</f>
        <v>6</v>
      </c>
      <c r="L50" s="3" t="str" cm="1">
        <f t="array" ref="L50">IF(AND(K50&gt;=1,K50&lt;=4),"Faible",IF(AND(K50&gt;=5,K50&lt;=9),"Moyen",IF(AND(K50&gt;=10,K50&lt;=16),"Élevé",IF(AND(K50&gt;=17,K50&lt;=25),"Critique",""))))</f>
        <v>Moyen</v>
      </c>
      <c r="M50" s="3"/>
      <c r="N50" s="10" t="s">
        <v>29</v>
      </c>
      <c r="O50" s="11" cm="1">
        <f t="array" ref="O50">COUNTIF($L$46:$L$51,"Moyen")</f>
        <v>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71.25" customHeight="1" thickBot="1" x14ac:dyDescent="0.4">
      <c r="A51" s="12" t="s">
        <v>191</v>
      </c>
      <c r="B51" s="12" t="s">
        <v>192</v>
      </c>
      <c r="C51" s="12" t="s">
        <v>193</v>
      </c>
      <c r="D51" s="13">
        <v>4</v>
      </c>
      <c r="E51" s="13">
        <v>2</v>
      </c>
      <c r="F51" s="12" t="s">
        <v>25</v>
      </c>
      <c r="G51" s="12" t="s">
        <v>194</v>
      </c>
      <c r="H51" s="12" t="s">
        <v>195</v>
      </c>
      <c r="I51" s="16"/>
      <c r="J51" s="12" t="s">
        <v>80</v>
      </c>
      <c r="K51" s="14" cm="1">
        <f t="array" ref="K51">D51*E51</f>
        <v>8</v>
      </c>
      <c r="L51" s="3" t="str" cm="1">
        <f t="array" ref="L51">IF(AND(K51&gt;=1,K51&lt;=4),"Faible",IF(AND(K51&gt;=5,K51&lt;=9),"Moyen",IF(AND(K51&gt;=10,K51&lt;=16),"Élevé",IF(AND(K51&gt;=17,K51&lt;=25),"Critique",""))))</f>
        <v>Moyen</v>
      </c>
      <c r="M51" s="3"/>
      <c r="N51" s="10" t="s">
        <v>38</v>
      </c>
      <c r="O51" s="11" cm="1">
        <f t="array" ref="O51">COUNTIF($L$46:$L$51,"Faible")</f>
        <v>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71.25" customHeight="1" x14ac:dyDescent="0.3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71.25" customHeight="1" x14ac:dyDescent="0.35">
      <c r="A53" s="2" t="s">
        <v>196</v>
      </c>
      <c r="B53" s="18"/>
      <c r="C53" s="18"/>
      <c r="D53" s="18"/>
      <c r="E53" s="18"/>
      <c r="F53" s="18"/>
      <c r="G53" s="18"/>
      <c r="H53" s="18"/>
      <c r="I53" s="18"/>
      <c r="J53" s="18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71.25" customHeight="1" thickBot="1" x14ac:dyDescent="0.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71.25" customHeight="1" thickBot="1" x14ac:dyDescent="0.4">
      <c r="A55" s="6" t="s">
        <v>2</v>
      </c>
      <c r="B55" s="6" t="s">
        <v>120</v>
      </c>
      <c r="C55" s="6" t="s">
        <v>4</v>
      </c>
      <c r="D55" s="6" t="s">
        <v>5</v>
      </c>
      <c r="E55" s="6" t="s">
        <v>6</v>
      </c>
      <c r="F55" s="6" t="s">
        <v>121</v>
      </c>
      <c r="G55" s="6" t="s">
        <v>122</v>
      </c>
      <c r="H55" s="6" t="s">
        <v>72</v>
      </c>
      <c r="I55" s="6" t="s">
        <v>10</v>
      </c>
      <c r="J55" s="6" t="s">
        <v>123</v>
      </c>
      <c r="K55" s="20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71.25" customHeight="1" thickBot="1" x14ac:dyDescent="0.4">
      <c r="A56" s="12" t="s">
        <v>197</v>
      </c>
      <c r="B56" s="12" t="s">
        <v>198</v>
      </c>
      <c r="C56" s="12" t="s">
        <v>199</v>
      </c>
      <c r="D56" s="13">
        <v>3</v>
      </c>
      <c r="E56" s="13">
        <v>3</v>
      </c>
      <c r="F56" s="12" t="s">
        <v>64</v>
      </c>
      <c r="G56" s="12" t="s">
        <v>200</v>
      </c>
      <c r="H56" s="12" t="s">
        <v>201</v>
      </c>
      <c r="I56" s="16"/>
      <c r="J56" s="12" t="s">
        <v>80</v>
      </c>
      <c r="K56" s="14" cm="1">
        <f t="array" ref="K56">D56*E56</f>
        <v>9</v>
      </c>
      <c r="L56" s="3" t="str" cm="1">
        <f t="array" ref="L56">IF(AND(K56&gt;=1,K56&lt;=4),"Faible",IF(AND(K56&gt;=5,K56&lt;=9),"Moyen",IF(AND(K56&gt;=10,K56&lt;=16),"Élevé",IF(AND(K56&gt;=17,K56&lt;=25),"Critique",""))))</f>
        <v>Moyen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71.25" customHeight="1" thickBot="1" x14ac:dyDescent="0.4">
      <c r="A57" s="12" t="s">
        <v>202</v>
      </c>
      <c r="B57" s="12" t="s">
        <v>406</v>
      </c>
      <c r="C57" s="12" t="s">
        <v>407</v>
      </c>
      <c r="D57" s="13">
        <v>3</v>
      </c>
      <c r="E57" s="13">
        <v>3</v>
      </c>
      <c r="F57" s="12" t="s">
        <v>64</v>
      </c>
      <c r="G57" s="12" t="s">
        <v>408</v>
      </c>
      <c r="H57" s="12" t="s">
        <v>409</v>
      </c>
      <c r="I57" s="16"/>
      <c r="J57" s="12" t="s">
        <v>90</v>
      </c>
      <c r="K57" s="14" cm="1">
        <f t="array" ref="K57">D57*E57</f>
        <v>9</v>
      </c>
      <c r="L57" s="3" t="str" cm="1">
        <f t="array" ref="L57">IF(AND(K57&gt;=1,K57&lt;=4),"Faible",IF(AND(K57&gt;=5,K57&lt;=9),"Moyen",IF(AND(K57&gt;=10,K57&lt;=16),"Élevé",IF(AND(K57&gt;=17,K57&lt;=25),"Critique",""))))</f>
        <v>Moyen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71.25" customHeight="1" thickBot="1" x14ac:dyDescent="0.4">
      <c r="A58" s="12" t="s">
        <v>203</v>
      </c>
      <c r="B58" s="12" t="s">
        <v>204</v>
      </c>
      <c r="C58" s="12" t="s">
        <v>205</v>
      </c>
      <c r="D58" s="13">
        <v>2</v>
      </c>
      <c r="E58" s="13">
        <v>2</v>
      </c>
      <c r="F58" s="12" t="s">
        <v>206</v>
      </c>
      <c r="G58" s="12" t="s">
        <v>207</v>
      </c>
      <c r="H58" s="12" t="s">
        <v>208</v>
      </c>
      <c r="I58" s="16"/>
      <c r="J58" s="12" t="s">
        <v>90</v>
      </c>
      <c r="K58" s="14" cm="1">
        <f t="array" ref="K58">D58*E58</f>
        <v>4</v>
      </c>
      <c r="L58" s="3" t="str" cm="1">
        <f t="array" ref="L58">IF(AND(K58&gt;=1,K58&lt;=4),"Faible",IF(AND(K58&gt;=5,K58&lt;=9),"Moyen",IF(AND(K58&gt;=10,K58&lt;=16),"Élevé",IF(AND(K58&gt;=17,K58&lt;=25),"Critique",""))))</f>
        <v>Faible</v>
      </c>
      <c r="M58" s="3"/>
      <c r="N58" s="10" t="s">
        <v>12</v>
      </c>
      <c r="O58" s="11" cm="1">
        <f t="array" ref="O58">COUNTIF($L$56:$L$59,"Critique")</f>
        <v>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71.25" customHeight="1" thickBot="1" x14ac:dyDescent="0.4">
      <c r="A59" s="12" t="s">
        <v>209</v>
      </c>
      <c r="B59" s="12" t="s">
        <v>210</v>
      </c>
      <c r="C59" s="12" t="s">
        <v>211</v>
      </c>
      <c r="D59" s="13">
        <v>3</v>
      </c>
      <c r="E59" s="13">
        <v>3</v>
      </c>
      <c r="F59" s="12" t="s">
        <v>64</v>
      </c>
      <c r="G59" s="12" t="s">
        <v>212</v>
      </c>
      <c r="H59" s="12" t="s">
        <v>213</v>
      </c>
      <c r="I59" s="16"/>
      <c r="J59" s="12" t="s">
        <v>80</v>
      </c>
      <c r="K59" s="14" cm="1">
        <f t="array" ref="K59">D59*E59</f>
        <v>9</v>
      </c>
      <c r="L59" s="3" t="str" cm="1">
        <f t="array" ref="L59">IF(AND(K59&gt;=1,K59&lt;=4),"Faible",IF(AND(K59&gt;=5,K59&lt;=9),"Moyen",IF(AND(K59&gt;=10,K59&lt;=16),"Élevé",IF(AND(K59&gt;=17,K59&lt;=25),"Critique",""))))</f>
        <v>Moyen</v>
      </c>
      <c r="M59" s="3"/>
      <c r="N59" s="10" t="s">
        <v>21</v>
      </c>
      <c r="O59" s="11" cm="1">
        <f t="array" ref="O59">COUNTIF($L$56:$L$59,"Élevé")</f>
        <v>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71.25" customHeight="1" x14ac:dyDescent="0.3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3"/>
      <c r="L60" s="3"/>
      <c r="M60" s="3"/>
      <c r="N60" s="10" t="s">
        <v>29</v>
      </c>
      <c r="O60" s="11" cm="1">
        <f t="array" ref="O60">COUNTIF($L$56:$L$59,"Moyen")</f>
        <v>3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71.25" customHeight="1" x14ac:dyDescent="0.35">
      <c r="A61" s="2" t="s">
        <v>214</v>
      </c>
      <c r="B61" s="18"/>
      <c r="C61" s="18"/>
      <c r="D61" s="18"/>
      <c r="E61" s="18"/>
      <c r="F61" s="18"/>
      <c r="G61" s="18"/>
      <c r="H61" s="18"/>
      <c r="I61" s="18"/>
      <c r="J61" s="18"/>
      <c r="K61" s="3"/>
      <c r="L61" s="3"/>
      <c r="M61" s="3"/>
      <c r="N61" s="10" t="s">
        <v>38</v>
      </c>
      <c r="O61" s="11" cm="1">
        <f t="array" ref="O61">COUNTIF($L$56:$L$59,"Faible")</f>
        <v>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71.25" customHeight="1" thickBot="1" x14ac:dyDescent="0.4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71.25" customHeight="1" thickBot="1" x14ac:dyDescent="0.4">
      <c r="A63" s="6" t="s">
        <v>2</v>
      </c>
      <c r="B63" s="6" t="s">
        <v>120</v>
      </c>
      <c r="C63" s="6" t="s">
        <v>4</v>
      </c>
      <c r="D63" s="6" t="s">
        <v>5</v>
      </c>
      <c r="E63" s="6" t="s">
        <v>6</v>
      </c>
      <c r="F63" s="6" t="s">
        <v>121</v>
      </c>
      <c r="G63" s="6" t="s">
        <v>122</v>
      </c>
      <c r="H63" s="6" t="s">
        <v>72</v>
      </c>
      <c r="I63" s="6" t="s">
        <v>10</v>
      </c>
      <c r="J63" s="6" t="s">
        <v>123</v>
      </c>
      <c r="K63" s="20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71.25" customHeight="1" thickBot="1" x14ac:dyDescent="0.4">
      <c r="A64" s="12" t="s">
        <v>215</v>
      </c>
      <c r="B64" s="12" t="s">
        <v>216</v>
      </c>
      <c r="C64" s="12" t="s">
        <v>217</v>
      </c>
      <c r="D64" s="13">
        <v>3</v>
      </c>
      <c r="E64" s="13">
        <v>4</v>
      </c>
      <c r="F64" s="12" t="s">
        <v>16</v>
      </c>
      <c r="G64" s="12" t="s">
        <v>218</v>
      </c>
      <c r="H64" s="12" t="s">
        <v>219</v>
      </c>
      <c r="I64" s="16"/>
      <c r="J64" s="12" t="s">
        <v>80</v>
      </c>
      <c r="K64" s="14" cm="1">
        <f t="array" ref="K64">D64*E64</f>
        <v>12</v>
      </c>
      <c r="L64" s="3" t="str" cm="1">
        <f t="array" ref="L64">IF(AND(K64&gt;=1,K64&lt;=4),"Faible",IF(AND(K64&gt;=5,K64&lt;=9),"Moyen",IF(AND(K64&gt;=10,K64&lt;=16),"Élevé",IF(AND(K64&gt;=17,K64&lt;=25),"Critique",""))))</f>
        <v>Élevé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71.25" customHeight="1" thickBot="1" x14ac:dyDescent="0.4">
      <c r="A65" s="12" t="s">
        <v>220</v>
      </c>
      <c r="B65" s="12" t="s">
        <v>221</v>
      </c>
      <c r="C65" s="12" t="s">
        <v>222</v>
      </c>
      <c r="D65" s="13">
        <v>3</v>
      </c>
      <c r="E65" s="13">
        <v>3</v>
      </c>
      <c r="F65" s="12" t="s">
        <v>64</v>
      </c>
      <c r="G65" s="12" t="s">
        <v>223</v>
      </c>
      <c r="H65" s="12" t="s">
        <v>224</v>
      </c>
      <c r="I65" s="16"/>
      <c r="J65" s="12" t="s">
        <v>80</v>
      </c>
      <c r="K65" s="14" cm="1">
        <f t="array" ref="K65">D65*E65</f>
        <v>9</v>
      </c>
      <c r="L65" s="3" t="str" cm="1">
        <f t="array" ref="L65">IF(AND(K65&gt;=1,K65&lt;=4),"Faible",IF(AND(K65&gt;=5,K65&lt;=9),"Moyen",IF(AND(K65&gt;=10,K65&lt;=16),"Élevé",IF(AND(K65&gt;=17,K65&lt;=25),"Critique",""))))</f>
        <v>Moyen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71.25" customHeight="1" thickBot="1" x14ac:dyDescent="0.4">
      <c r="A66" s="12" t="s">
        <v>225</v>
      </c>
      <c r="B66" s="12" t="s">
        <v>226</v>
      </c>
      <c r="C66" s="12" t="s">
        <v>227</v>
      </c>
      <c r="D66" s="13">
        <v>3</v>
      </c>
      <c r="E66" s="13">
        <v>3</v>
      </c>
      <c r="F66" s="12" t="s">
        <v>64</v>
      </c>
      <c r="G66" s="12" t="s">
        <v>228</v>
      </c>
      <c r="H66" s="12" t="s">
        <v>229</v>
      </c>
      <c r="I66" s="16"/>
      <c r="J66" s="12" t="s">
        <v>80</v>
      </c>
      <c r="K66" s="14" cm="1">
        <f t="array" ref="K66">D66*E66</f>
        <v>9</v>
      </c>
      <c r="L66" s="3" t="str" cm="1">
        <f t="array" ref="L66">IF(AND(K66&gt;=1,K66&lt;=4),"Faible",IF(AND(K66&gt;=5,K66&lt;=9),"Moyen",IF(AND(K66&gt;=10,K66&lt;=16),"Élevé",IF(AND(K66&gt;=17,K66&lt;=25),"Critique",""))))</f>
        <v>Moyen</v>
      </c>
      <c r="M66" s="3"/>
      <c r="N66" s="10" t="s">
        <v>12</v>
      </c>
      <c r="O66" s="11" cm="1">
        <f t="array" ref="O66">COUNTIF($L$64:$L$67,"Critique")</f>
        <v>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71.25" customHeight="1" thickBot="1" x14ac:dyDescent="0.4">
      <c r="A67" s="12" t="s">
        <v>230</v>
      </c>
      <c r="B67" s="12" t="s">
        <v>231</v>
      </c>
      <c r="C67" s="12" t="s">
        <v>232</v>
      </c>
      <c r="D67" s="13">
        <v>2</v>
      </c>
      <c r="E67" s="13">
        <v>3</v>
      </c>
      <c r="F67" s="12" t="s">
        <v>149</v>
      </c>
      <c r="G67" s="12" t="s">
        <v>233</v>
      </c>
      <c r="H67" s="12" t="s">
        <v>234</v>
      </c>
      <c r="I67" s="16"/>
      <c r="J67" s="12" t="s">
        <v>90</v>
      </c>
      <c r="K67" s="14" cm="1">
        <f t="array" ref="K67">D67*E67</f>
        <v>6</v>
      </c>
      <c r="L67" s="3" t="str" cm="1">
        <f t="array" ref="L67">IF(AND(K67&gt;=1,K67&lt;=4),"Faible",IF(AND(K67&gt;=5,K67&lt;=9),"Moyen",IF(AND(K67&gt;=10,K67&lt;=16),"Élevé",IF(AND(K67&gt;=17,K67&lt;=25),"Critique",""))))</f>
        <v>Moyen</v>
      </c>
      <c r="M67" s="3"/>
      <c r="N67" s="10" t="s">
        <v>21</v>
      </c>
      <c r="O67" s="11" cm="1">
        <f t="array" ref="O67">COUNTIF($L$64:$L$67,"Élevé")</f>
        <v>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71.25" customHeight="1" x14ac:dyDescent="0.35">
      <c r="A68" s="22"/>
      <c r="B68" s="21"/>
      <c r="C68" s="21"/>
      <c r="D68" s="21"/>
      <c r="E68" s="21"/>
      <c r="F68" s="21"/>
      <c r="G68" s="21"/>
      <c r="H68" s="21"/>
      <c r="I68" s="21"/>
      <c r="J68" s="21"/>
      <c r="K68" s="3"/>
      <c r="L68" s="3"/>
      <c r="M68" s="3"/>
      <c r="N68" s="10" t="s">
        <v>29</v>
      </c>
      <c r="O68" s="11" cm="1">
        <f t="array" ref="O68">COUNTIF($L$64:$L$67,"Moyen")</f>
        <v>3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71.2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10" t="s">
        <v>38</v>
      </c>
      <c r="O69" s="11" cm="1">
        <f t="array" ref="O69">COUNTIF($L$64:$L$67,"Faible")</f>
        <v>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21" customHeight="1" x14ac:dyDescent="0.35"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4.5" customHeight="1" x14ac:dyDescent="0.35"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workbookViewId="0">
      <selection activeCell="D32" sqref="D32"/>
    </sheetView>
  </sheetViews>
  <sheetFormatPr baseColWidth="10" defaultColWidth="11.453125" defaultRowHeight="14.5" customHeight="1" x14ac:dyDescent="0.35"/>
  <cols>
    <col min="1" max="1" width="9.81640625" style="1" customWidth="1"/>
    <col min="2" max="2" width="18.453125" style="1" customWidth="1"/>
    <col min="3" max="3" width="36.1796875" style="1" customWidth="1"/>
    <col min="4" max="7" width="11.453125" style="1" customWidth="1"/>
    <col min="8" max="16384" width="11.453125" style="1"/>
  </cols>
  <sheetData>
    <row r="1" spans="1:6" ht="23.5" customHeight="1" x14ac:dyDescent="0.35">
      <c r="A1" s="2" t="s">
        <v>235</v>
      </c>
      <c r="B1" s="3"/>
      <c r="C1" s="3"/>
      <c r="D1" s="3"/>
      <c r="E1" s="3"/>
      <c r="F1" s="3"/>
    </row>
    <row r="2" spans="1:6" ht="15" customHeight="1" x14ac:dyDescent="0.35">
      <c r="A2" s="4"/>
      <c r="B2" s="4"/>
      <c r="C2" s="4"/>
      <c r="D2" s="3"/>
      <c r="E2" s="3"/>
      <c r="F2" s="5"/>
    </row>
    <row r="3" spans="1:6" ht="26.25" customHeight="1" x14ac:dyDescent="0.35">
      <c r="A3" s="6" t="s">
        <v>236</v>
      </c>
      <c r="B3" s="6" t="s">
        <v>237</v>
      </c>
      <c r="C3" s="6" t="s">
        <v>238</v>
      </c>
      <c r="D3" s="20"/>
      <c r="E3" s="23"/>
      <c r="F3" s="24"/>
    </row>
    <row r="4" spans="1:6" ht="27.75" customHeight="1" x14ac:dyDescent="0.35">
      <c r="A4" s="13">
        <v>1</v>
      </c>
      <c r="B4" s="12" t="s">
        <v>239</v>
      </c>
      <c r="C4" s="12" t="s">
        <v>240</v>
      </c>
      <c r="D4" s="20"/>
      <c r="E4" s="3"/>
      <c r="F4" s="15"/>
    </row>
    <row r="5" spans="1:6" ht="24" customHeight="1" x14ac:dyDescent="0.35">
      <c r="A5" s="13">
        <v>2</v>
      </c>
      <c r="B5" s="12" t="s">
        <v>241</v>
      </c>
      <c r="C5" s="12" t="s">
        <v>242</v>
      </c>
      <c r="D5" s="20"/>
      <c r="E5" s="3"/>
      <c r="F5" s="3"/>
    </row>
    <row r="6" spans="1:6" ht="37.5" customHeight="1" x14ac:dyDescent="0.35">
      <c r="A6" s="13">
        <v>3</v>
      </c>
      <c r="B6" s="12" t="s">
        <v>243</v>
      </c>
      <c r="C6" s="12" t="s">
        <v>244</v>
      </c>
      <c r="D6" s="20"/>
      <c r="E6" s="3"/>
      <c r="F6" s="3"/>
    </row>
    <row r="7" spans="1:6" ht="33.75" customHeight="1" x14ac:dyDescent="0.35">
      <c r="A7" s="13">
        <v>4</v>
      </c>
      <c r="B7" s="12" t="s">
        <v>245</v>
      </c>
      <c r="C7" s="12" t="s">
        <v>246</v>
      </c>
      <c r="D7" s="20"/>
      <c r="E7" s="3"/>
      <c r="F7" s="3"/>
    </row>
    <row r="8" spans="1:6" ht="33" customHeight="1" x14ac:dyDescent="0.35">
      <c r="A8" s="13">
        <v>5</v>
      </c>
      <c r="B8" s="12" t="s">
        <v>247</v>
      </c>
      <c r="C8" s="12" t="s">
        <v>248</v>
      </c>
      <c r="D8" s="20"/>
      <c r="E8" s="3"/>
      <c r="F8" s="3"/>
    </row>
    <row r="9" spans="1:6" ht="16.5" customHeight="1" x14ac:dyDescent="0.35">
      <c r="A9" s="25" t="s">
        <v>249</v>
      </c>
      <c r="B9" s="21"/>
      <c r="C9" s="21"/>
      <c r="D9" s="3"/>
      <c r="E9" s="3"/>
      <c r="F9" s="3"/>
    </row>
    <row r="10" spans="1:6" ht="16" customHeight="1" x14ac:dyDescent="0.35">
      <c r="A10" s="3"/>
      <c r="B10" s="3"/>
      <c r="C10" s="3"/>
      <c r="D10" s="3"/>
      <c r="E10" s="3"/>
      <c r="F10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6"/>
  <sheetViews>
    <sheetView showGridLines="0" topLeftCell="A119" workbookViewId="0"/>
  </sheetViews>
  <sheetFormatPr baseColWidth="10" defaultColWidth="11.453125" defaultRowHeight="14.5" customHeight="1" x14ac:dyDescent="0.35"/>
  <cols>
    <col min="1" max="6" width="11.453125" style="1" customWidth="1"/>
    <col min="7" max="16384" width="11.453125" style="1"/>
  </cols>
  <sheetData>
    <row r="1" spans="1:5" ht="23.5" customHeight="1" x14ac:dyDescent="0.35">
      <c r="A1" s="2" t="s">
        <v>250</v>
      </c>
      <c r="B1" s="3"/>
      <c r="C1" s="3"/>
      <c r="D1" s="3"/>
      <c r="E1" s="3"/>
    </row>
    <row r="2" spans="1:5" ht="14.5" customHeight="1" x14ac:dyDescent="0.35">
      <c r="A2" s="3"/>
      <c r="B2" s="3"/>
      <c r="C2" s="3"/>
      <c r="D2" s="3"/>
      <c r="E2" s="3"/>
    </row>
    <row r="3" spans="1:5" ht="17.5" customHeight="1" x14ac:dyDescent="0.35">
      <c r="A3" s="26" t="s">
        <v>251</v>
      </c>
      <c r="B3" s="3"/>
      <c r="C3" s="3"/>
      <c r="D3" s="3"/>
      <c r="E3" s="3"/>
    </row>
    <row r="4" spans="1:5" ht="14.5" customHeight="1" x14ac:dyDescent="0.35">
      <c r="A4" s="3"/>
      <c r="B4" s="3"/>
      <c r="C4" s="3"/>
      <c r="D4" s="3"/>
      <c r="E4" s="3"/>
    </row>
    <row r="5" spans="1:5" ht="14.5" customHeight="1" x14ac:dyDescent="0.35">
      <c r="A5" s="27" t="s">
        <v>252</v>
      </c>
      <c r="B5" s="3"/>
      <c r="C5" s="3"/>
      <c r="D5" s="3"/>
      <c r="E5" s="3"/>
    </row>
    <row r="6" spans="1:5" ht="14.5" customHeight="1" x14ac:dyDescent="0.35">
      <c r="A6" s="10" t="s">
        <v>253</v>
      </c>
      <c r="B6" s="3"/>
      <c r="C6" s="3"/>
      <c r="D6" s="3"/>
      <c r="E6" s="3"/>
    </row>
    <row r="7" spans="1:5" ht="14.5" customHeight="1" x14ac:dyDescent="0.35">
      <c r="A7" s="3"/>
      <c r="B7" s="3"/>
      <c r="C7" s="3"/>
      <c r="D7" s="3"/>
      <c r="E7" s="3"/>
    </row>
    <row r="8" spans="1:5" ht="14.5" customHeight="1" x14ac:dyDescent="0.35">
      <c r="A8" s="27" t="s">
        <v>254</v>
      </c>
      <c r="B8" s="3"/>
      <c r="C8" s="3"/>
      <c r="D8" s="3"/>
      <c r="E8" s="3"/>
    </row>
    <row r="9" spans="1:5" ht="14.5" customHeight="1" x14ac:dyDescent="0.35">
      <c r="A9" s="10" t="s">
        <v>255</v>
      </c>
      <c r="B9" s="3"/>
      <c r="C9" s="3"/>
      <c r="D9" s="3"/>
      <c r="E9" s="3"/>
    </row>
    <row r="10" spans="1:5" ht="14.5" customHeight="1" x14ac:dyDescent="0.35">
      <c r="A10" s="3"/>
      <c r="B10" s="3"/>
      <c r="C10" s="3"/>
      <c r="D10" s="3"/>
      <c r="E10" s="3"/>
    </row>
    <row r="11" spans="1:5" ht="14.5" customHeight="1" x14ac:dyDescent="0.35">
      <c r="A11" s="27" t="s">
        <v>256</v>
      </c>
      <c r="B11" s="3"/>
      <c r="C11" s="3"/>
      <c r="D11" s="3"/>
      <c r="E11" s="3"/>
    </row>
    <row r="12" spans="1:5" ht="14.5" customHeight="1" x14ac:dyDescent="0.35">
      <c r="A12" s="28"/>
      <c r="B12" s="3"/>
      <c r="C12" s="3"/>
      <c r="D12" s="3"/>
      <c r="E12" s="3"/>
    </row>
    <row r="13" spans="1:5" ht="14.5" customHeight="1" x14ac:dyDescent="0.35">
      <c r="A13" s="29" t="s">
        <v>257</v>
      </c>
      <c r="B13" s="3"/>
      <c r="C13" s="3"/>
      <c r="D13" s="3"/>
      <c r="E13" s="3"/>
    </row>
    <row r="14" spans="1:5" ht="14.5" customHeight="1" x14ac:dyDescent="0.35">
      <c r="A14" s="28"/>
      <c r="B14" s="3"/>
      <c r="C14" s="3"/>
      <c r="D14" s="3"/>
      <c r="E14" s="3"/>
    </row>
    <row r="15" spans="1:5" ht="14.5" customHeight="1" x14ac:dyDescent="0.35">
      <c r="A15" s="29" t="s">
        <v>258</v>
      </c>
      <c r="B15" s="3"/>
      <c r="C15" s="3"/>
      <c r="D15" s="3"/>
      <c r="E15" s="3"/>
    </row>
    <row r="16" spans="1:5" ht="14.5" customHeight="1" x14ac:dyDescent="0.35">
      <c r="A16" s="28"/>
      <c r="B16" s="3"/>
      <c r="C16" s="3"/>
      <c r="D16" s="3"/>
      <c r="E16" s="3"/>
    </row>
    <row r="17" spans="1:5" ht="14.5" customHeight="1" x14ac:dyDescent="0.35">
      <c r="A17" s="29" t="s">
        <v>259</v>
      </c>
      <c r="B17" s="3"/>
      <c r="C17" s="3"/>
      <c r="D17" s="3"/>
      <c r="E17" s="3"/>
    </row>
    <row r="18" spans="1:5" ht="14.5" customHeight="1" x14ac:dyDescent="0.35">
      <c r="A18" s="3"/>
      <c r="B18" s="3"/>
      <c r="C18" s="3"/>
      <c r="D18" s="3"/>
      <c r="E18" s="3"/>
    </row>
    <row r="19" spans="1:5" ht="14.5" customHeight="1" x14ac:dyDescent="0.35">
      <c r="A19" s="27" t="s">
        <v>260</v>
      </c>
      <c r="B19" s="3"/>
      <c r="C19" s="3"/>
      <c r="D19" s="3"/>
      <c r="E19" s="3"/>
    </row>
    <row r="20" spans="1:5" ht="14.5" customHeight="1" x14ac:dyDescent="0.35">
      <c r="A20" s="10" t="s">
        <v>261</v>
      </c>
      <c r="B20" s="3"/>
      <c r="C20" s="3"/>
      <c r="D20" s="3"/>
      <c r="E20" s="3"/>
    </row>
    <row r="21" spans="1:5" ht="14.5" customHeight="1" x14ac:dyDescent="0.35">
      <c r="A21" s="3"/>
      <c r="B21" s="3"/>
      <c r="C21" s="3"/>
      <c r="D21" s="3"/>
      <c r="E21" s="3"/>
    </row>
    <row r="22" spans="1:5" ht="14.5" customHeight="1" x14ac:dyDescent="0.35">
      <c r="A22" s="27" t="s">
        <v>262</v>
      </c>
      <c r="B22" s="3"/>
      <c r="C22" s="3"/>
      <c r="D22" s="3"/>
      <c r="E22" s="3"/>
    </row>
    <row r="23" spans="1:5" ht="14.5" customHeight="1" x14ac:dyDescent="0.35">
      <c r="A23" s="10" t="s">
        <v>263</v>
      </c>
      <c r="B23" s="3"/>
      <c r="C23" s="3"/>
      <c r="D23" s="3"/>
      <c r="E23" s="3"/>
    </row>
    <row r="24" spans="1:5" ht="14.5" customHeight="1" x14ac:dyDescent="0.35">
      <c r="A24" s="3"/>
      <c r="B24" s="3"/>
      <c r="C24" s="3"/>
      <c r="D24" s="3"/>
      <c r="E24" s="3"/>
    </row>
    <row r="25" spans="1:5" ht="14.5" customHeight="1" x14ac:dyDescent="0.35">
      <c r="A25" s="27" t="s">
        <v>264</v>
      </c>
      <c r="B25" s="3"/>
      <c r="C25" s="3"/>
      <c r="D25" s="3"/>
      <c r="E25" s="3"/>
    </row>
    <row r="26" spans="1:5" ht="14.5" customHeight="1" x14ac:dyDescent="0.35">
      <c r="A26" s="10" t="s">
        <v>265</v>
      </c>
      <c r="B26" s="3"/>
      <c r="C26" s="3"/>
      <c r="D26" s="3"/>
      <c r="E26" s="3"/>
    </row>
    <row r="27" spans="1:5" ht="14.5" customHeight="1" x14ac:dyDescent="0.35">
      <c r="A27" s="3"/>
      <c r="B27" s="3"/>
      <c r="C27" s="3"/>
      <c r="D27" s="3"/>
      <c r="E27" s="3"/>
    </row>
    <row r="28" spans="1:5" ht="14.5" customHeight="1" x14ac:dyDescent="0.35">
      <c r="A28" s="27" t="s">
        <v>266</v>
      </c>
      <c r="B28" s="3"/>
      <c r="C28" s="3"/>
      <c r="D28" s="3"/>
      <c r="E28" s="3"/>
    </row>
    <row r="29" spans="1:5" ht="14.5" customHeight="1" x14ac:dyDescent="0.35">
      <c r="A29" s="10" t="s">
        <v>267</v>
      </c>
      <c r="B29" s="3"/>
      <c r="C29" s="3"/>
      <c r="D29" s="3"/>
      <c r="E29" s="3"/>
    </row>
    <row r="30" spans="1:5" ht="14.5" customHeight="1" x14ac:dyDescent="0.35">
      <c r="A30" s="3"/>
      <c r="B30" s="3"/>
      <c r="C30" s="3"/>
      <c r="D30" s="3"/>
      <c r="E30" s="3"/>
    </row>
    <row r="31" spans="1:5" ht="14.5" customHeight="1" x14ac:dyDescent="0.35">
      <c r="A31" s="27" t="s">
        <v>268</v>
      </c>
      <c r="B31" s="3"/>
      <c r="C31" s="3"/>
      <c r="D31" s="3"/>
      <c r="E31" s="3"/>
    </row>
    <row r="32" spans="1:5" ht="14.5" customHeight="1" x14ac:dyDescent="0.35">
      <c r="A32" s="10" t="s">
        <v>269</v>
      </c>
      <c r="B32" s="3"/>
      <c r="C32" s="3"/>
      <c r="D32" s="3"/>
      <c r="E32" s="3"/>
    </row>
    <row r="33" spans="1:5" ht="14.5" customHeight="1" x14ac:dyDescent="0.35">
      <c r="A33" s="10" t="s">
        <v>270</v>
      </c>
      <c r="B33" s="3"/>
      <c r="C33" s="3"/>
      <c r="D33" s="3"/>
      <c r="E33" s="3"/>
    </row>
    <row r="34" spans="1:5" ht="14.5" customHeight="1" x14ac:dyDescent="0.35">
      <c r="A34" s="3"/>
      <c r="B34" s="3"/>
      <c r="C34" s="3"/>
      <c r="D34" s="3"/>
      <c r="E34" s="3"/>
    </row>
    <row r="35" spans="1:5" ht="14.5" customHeight="1" x14ac:dyDescent="0.35">
      <c r="A35" s="27" t="s">
        <v>271</v>
      </c>
      <c r="B35" s="3"/>
      <c r="C35" s="3"/>
      <c r="D35" s="3"/>
      <c r="E35" s="3"/>
    </row>
    <row r="36" spans="1:5" ht="14.5" customHeight="1" x14ac:dyDescent="0.35">
      <c r="A36" s="28"/>
      <c r="B36" s="3"/>
      <c r="C36" s="3"/>
      <c r="D36" s="3"/>
      <c r="E36" s="3"/>
    </row>
    <row r="37" spans="1:5" ht="14.5" customHeight="1" x14ac:dyDescent="0.35">
      <c r="A37" s="29" t="s">
        <v>272</v>
      </c>
      <c r="B37" s="3"/>
      <c r="C37" s="3"/>
      <c r="D37" s="3"/>
      <c r="E37" s="3"/>
    </row>
    <row r="38" spans="1:5" ht="14.5" customHeight="1" x14ac:dyDescent="0.35">
      <c r="A38" s="28"/>
      <c r="B38" s="3"/>
      <c r="C38" s="3"/>
      <c r="D38" s="3"/>
      <c r="E38" s="3"/>
    </row>
    <row r="39" spans="1:5" ht="14.5" customHeight="1" x14ac:dyDescent="0.35">
      <c r="A39" s="29" t="s">
        <v>273</v>
      </c>
      <c r="B39" s="3"/>
      <c r="C39" s="3"/>
      <c r="D39" s="3"/>
      <c r="E39" s="3"/>
    </row>
    <row r="40" spans="1:5" ht="14.5" customHeight="1" x14ac:dyDescent="0.35">
      <c r="A40" s="28"/>
      <c r="B40" s="3"/>
      <c r="C40" s="3"/>
      <c r="D40" s="3"/>
      <c r="E40" s="3"/>
    </row>
    <row r="41" spans="1:5" ht="14.5" customHeight="1" x14ac:dyDescent="0.35">
      <c r="A41" s="29" t="s">
        <v>274</v>
      </c>
      <c r="B41" s="3"/>
      <c r="C41" s="3"/>
      <c r="D41" s="3"/>
      <c r="E41" s="3"/>
    </row>
    <row r="42" spans="1:5" ht="14.5" customHeight="1" x14ac:dyDescent="0.35">
      <c r="A42" s="28"/>
      <c r="B42" s="3"/>
      <c r="C42" s="3"/>
      <c r="D42" s="3"/>
      <c r="E42" s="3"/>
    </row>
    <row r="43" spans="1:5" ht="14.5" customHeight="1" x14ac:dyDescent="0.35">
      <c r="A43" s="29" t="s">
        <v>275</v>
      </c>
      <c r="B43" s="3"/>
      <c r="C43" s="3"/>
      <c r="D43" s="3"/>
      <c r="E43" s="3"/>
    </row>
    <row r="44" spans="1:5" ht="14.5" customHeight="1" x14ac:dyDescent="0.35">
      <c r="A44" s="28"/>
      <c r="B44" s="3"/>
      <c r="C44" s="3"/>
      <c r="D44" s="3"/>
      <c r="E44" s="3"/>
    </row>
    <row r="45" spans="1:5" ht="14.5" customHeight="1" x14ac:dyDescent="0.35">
      <c r="A45" s="29" t="s">
        <v>276</v>
      </c>
      <c r="B45" s="3"/>
      <c r="C45" s="3"/>
      <c r="D45" s="3"/>
      <c r="E45" s="3"/>
    </row>
    <row r="46" spans="1:5" ht="14.5" customHeight="1" x14ac:dyDescent="0.35">
      <c r="A46" s="3"/>
      <c r="B46" s="3"/>
      <c r="C46" s="3"/>
      <c r="D46" s="3"/>
      <c r="E46" s="3"/>
    </row>
    <row r="47" spans="1:5" ht="14.5" customHeight="1" x14ac:dyDescent="0.35">
      <c r="A47" s="27" t="s">
        <v>277</v>
      </c>
      <c r="B47" s="3"/>
      <c r="C47" s="3"/>
      <c r="D47" s="3"/>
      <c r="E47" s="3"/>
    </row>
    <row r="48" spans="1:5" ht="14.5" customHeight="1" x14ac:dyDescent="0.35">
      <c r="A48" s="10" t="s">
        <v>278</v>
      </c>
      <c r="B48" s="3"/>
      <c r="C48" s="3"/>
      <c r="D48" s="3"/>
      <c r="E48" s="3"/>
    </row>
    <row r="49" spans="1:5" ht="14.5" customHeight="1" x14ac:dyDescent="0.35">
      <c r="A49" s="10" t="s">
        <v>279</v>
      </c>
      <c r="B49" s="3"/>
      <c r="C49" s="3"/>
      <c r="D49" s="3"/>
      <c r="E49" s="3"/>
    </row>
    <row r="50" spans="1:5" ht="14.5" customHeight="1" x14ac:dyDescent="0.35">
      <c r="A50" s="3"/>
      <c r="B50" s="3"/>
      <c r="C50" s="3"/>
      <c r="D50" s="3"/>
      <c r="E50" s="3"/>
    </row>
    <row r="51" spans="1:5" ht="14.5" customHeight="1" x14ac:dyDescent="0.35">
      <c r="A51" s="27" t="s">
        <v>280</v>
      </c>
      <c r="B51" s="3"/>
      <c r="C51" s="3"/>
      <c r="D51" s="3"/>
      <c r="E51" s="3"/>
    </row>
    <row r="52" spans="1:5" ht="14.5" customHeight="1" x14ac:dyDescent="0.35">
      <c r="A52" s="10" t="s">
        <v>281</v>
      </c>
      <c r="B52" s="3"/>
      <c r="C52" s="3"/>
      <c r="D52" s="3"/>
      <c r="E52" s="3"/>
    </row>
    <row r="53" spans="1:5" ht="14.5" customHeight="1" x14ac:dyDescent="0.35">
      <c r="A53" s="28"/>
      <c r="B53" s="3"/>
      <c r="C53" s="3"/>
      <c r="D53" s="3"/>
      <c r="E53" s="3"/>
    </row>
    <row r="54" spans="1:5" ht="14.5" customHeight="1" x14ac:dyDescent="0.35">
      <c r="A54" s="29" t="s">
        <v>282</v>
      </c>
      <c r="B54" s="3"/>
      <c r="C54" s="3"/>
      <c r="D54" s="3"/>
      <c r="E54" s="3"/>
    </row>
    <row r="55" spans="1:5" ht="14.5" customHeight="1" x14ac:dyDescent="0.35">
      <c r="A55" s="3"/>
      <c r="B55" s="3"/>
      <c r="C55" s="3"/>
      <c r="D55" s="3"/>
      <c r="E55" s="3"/>
    </row>
    <row r="56" spans="1:5" ht="14.5" customHeight="1" x14ac:dyDescent="0.35">
      <c r="A56" s="27" t="s">
        <v>283</v>
      </c>
      <c r="B56" s="3"/>
      <c r="C56" s="3"/>
      <c r="D56" s="3"/>
      <c r="E56" s="3"/>
    </row>
    <row r="57" spans="1:5" ht="14.5" customHeight="1" x14ac:dyDescent="0.35">
      <c r="A57" s="10" t="s">
        <v>284</v>
      </c>
      <c r="B57" s="3"/>
      <c r="C57" s="3"/>
      <c r="D57" s="3"/>
      <c r="E57" s="3"/>
    </row>
    <row r="58" spans="1:5" ht="14.5" customHeight="1" x14ac:dyDescent="0.35">
      <c r="A58" s="3"/>
      <c r="B58" s="3"/>
      <c r="C58" s="3"/>
      <c r="D58" s="3"/>
      <c r="E58" s="3"/>
    </row>
    <row r="59" spans="1:5" ht="14.5" customHeight="1" x14ac:dyDescent="0.35">
      <c r="A59" s="3"/>
      <c r="B59" s="3"/>
      <c r="C59" s="3"/>
      <c r="D59" s="3"/>
      <c r="E59" s="3"/>
    </row>
    <row r="60" spans="1:5" ht="14.5" customHeight="1" x14ac:dyDescent="0.35">
      <c r="A60" s="3"/>
      <c r="B60" s="3"/>
      <c r="C60" s="3"/>
      <c r="D60" s="3"/>
      <c r="E60" s="3"/>
    </row>
    <row r="61" spans="1:5" ht="17.5" customHeight="1" x14ac:dyDescent="0.35">
      <c r="A61" s="26" t="s">
        <v>285</v>
      </c>
      <c r="B61" s="3"/>
      <c r="C61" s="3"/>
      <c r="D61" s="3"/>
      <c r="E61" s="3"/>
    </row>
    <row r="62" spans="1:5" ht="14.5" customHeight="1" x14ac:dyDescent="0.35">
      <c r="A62" s="3"/>
      <c r="B62" s="3"/>
      <c r="C62" s="3"/>
      <c r="D62" s="3"/>
      <c r="E62" s="3"/>
    </row>
    <row r="63" spans="1:5" ht="14.5" customHeight="1" x14ac:dyDescent="0.35">
      <c r="A63" s="27" t="s">
        <v>252</v>
      </c>
      <c r="B63" s="3"/>
      <c r="C63" s="3"/>
      <c r="D63" s="3"/>
      <c r="E63" s="3"/>
    </row>
    <row r="64" spans="1:5" ht="14.5" customHeight="1" x14ac:dyDescent="0.35">
      <c r="A64" s="10" t="s">
        <v>286</v>
      </c>
      <c r="B64" s="3"/>
      <c r="C64" s="3"/>
      <c r="D64" s="3"/>
      <c r="E64" s="3"/>
    </row>
    <row r="65" spans="1:5" ht="14.5" customHeight="1" x14ac:dyDescent="0.35">
      <c r="A65" s="3"/>
      <c r="B65" s="3"/>
      <c r="C65" s="3"/>
      <c r="D65" s="3"/>
      <c r="E65" s="3"/>
    </row>
    <row r="66" spans="1:5" ht="14.5" customHeight="1" x14ac:dyDescent="0.35">
      <c r="A66" s="27" t="s">
        <v>254</v>
      </c>
      <c r="B66" s="3"/>
      <c r="C66" s="3"/>
      <c r="D66" s="3"/>
      <c r="E66" s="3"/>
    </row>
    <row r="67" spans="1:5" ht="14.5" customHeight="1" x14ac:dyDescent="0.35">
      <c r="A67" s="28"/>
      <c r="B67" s="3"/>
      <c r="C67" s="3"/>
      <c r="D67" s="3"/>
      <c r="E67" s="3"/>
    </row>
    <row r="68" spans="1:5" ht="14.5" customHeight="1" x14ac:dyDescent="0.35">
      <c r="A68" s="30" t="s">
        <v>287</v>
      </c>
      <c r="B68" s="3"/>
      <c r="C68" s="3"/>
      <c r="D68" s="3"/>
      <c r="E68" s="3"/>
    </row>
    <row r="69" spans="1:5" ht="14.5" customHeight="1" x14ac:dyDescent="0.35">
      <c r="A69" s="28"/>
      <c r="B69" s="3"/>
      <c r="C69" s="3"/>
      <c r="D69" s="3"/>
      <c r="E69" s="3"/>
    </row>
    <row r="70" spans="1:5" ht="14.5" customHeight="1" x14ac:dyDescent="0.35">
      <c r="A70" s="30" t="s">
        <v>288</v>
      </c>
      <c r="B70" s="3"/>
      <c r="C70" s="3"/>
      <c r="D70" s="3"/>
      <c r="E70" s="3"/>
    </row>
    <row r="71" spans="1:5" ht="14.5" customHeight="1" x14ac:dyDescent="0.35">
      <c r="A71" s="3"/>
      <c r="B71" s="3"/>
      <c r="C71" s="3"/>
      <c r="D71" s="3"/>
      <c r="E71" s="3"/>
    </row>
    <row r="72" spans="1:5" ht="14.5" customHeight="1" x14ac:dyDescent="0.35">
      <c r="A72" s="27" t="s">
        <v>256</v>
      </c>
      <c r="B72" s="3"/>
      <c r="C72" s="3"/>
      <c r="D72" s="3"/>
      <c r="E72" s="3"/>
    </row>
    <row r="73" spans="1:5" ht="14.5" customHeight="1" x14ac:dyDescent="0.35">
      <c r="A73" s="28"/>
      <c r="B73" s="3"/>
      <c r="C73" s="3"/>
      <c r="D73" s="3"/>
      <c r="E73" s="3"/>
    </row>
    <row r="74" spans="1:5" ht="14.5" customHeight="1" x14ac:dyDescent="0.35">
      <c r="A74" s="29" t="s">
        <v>289</v>
      </c>
      <c r="B74" s="3"/>
      <c r="C74" s="3"/>
      <c r="D74" s="3"/>
      <c r="E74" s="3"/>
    </row>
    <row r="75" spans="1:5" ht="14.5" customHeight="1" x14ac:dyDescent="0.35">
      <c r="A75" s="28"/>
      <c r="B75" s="3"/>
      <c r="C75" s="3"/>
      <c r="D75" s="3"/>
      <c r="E75" s="3"/>
    </row>
    <row r="76" spans="1:5" ht="14.5" customHeight="1" x14ac:dyDescent="0.35">
      <c r="A76" s="29" t="s">
        <v>290</v>
      </c>
      <c r="B76" s="3"/>
      <c r="C76" s="3"/>
      <c r="D76" s="3"/>
      <c r="E76" s="3"/>
    </row>
    <row r="77" spans="1:5" ht="14.5" customHeight="1" x14ac:dyDescent="0.35">
      <c r="A77" s="28"/>
      <c r="B77" s="3"/>
      <c r="C77" s="3"/>
      <c r="D77" s="3"/>
      <c r="E77" s="3"/>
    </row>
    <row r="78" spans="1:5" ht="14.5" customHeight="1" x14ac:dyDescent="0.35">
      <c r="A78" s="29" t="s">
        <v>291</v>
      </c>
      <c r="B78" s="3"/>
      <c r="C78" s="3"/>
      <c r="D78" s="3"/>
      <c r="E78" s="3"/>
    </row>
    <row r="79" spans="1:5" ht="14.5" customHeight="1" x14ac:dyDescent="0.35">
      <c r="A79" s="28"/>
      <c r="B79" s="3"/>
      <c r="C79" s="3"/>
      <c r="D79" s="3"/>
      <c r="E79" s="3"/>
    </row>
    <row r="80" spans="1:5" ht="14.5" customHeight="1" x14ac:dyDescent="0.35">
      <c r="A80" s="29" t="s">
        <v>292</v>
      </c>
      <c r="B80" s="3"/>
      <c r="C80" s="3"/>
      <c r="D80" s="3"/>
      <c r="E80" s="3"/>
    </row>
    <row r="81" spans="1:5" ht="14.5" customHeight="1" x14ac:dyDescent="0.35">
      <c r="A81" s="3"/>
      <c r="B81" s="3"/>
      <c r="C81" s="3"/>
      <c r="D81" s="3"/>
      <c r="E81" s="3"/>
    </row>
    <row r="82" spans="1:5" ht="14.5" customHeight="1" x14ac:dyDescent="0.35">
      <c r="A82" s="27" t="s">
        <v>293</v>
      </c>
      <c r="B82" s="3"/>
      <c r="C82" s="3"/>
      <c r="D82" s="3"/>
      <c r="E82" s="3"/>
    </row>
    <row r="83" spans="1:5" ht="14.5" customHeight="1" x14ac:dyDescent="0.35">
      <c r="A83" s="28"/>
      <c r="B83" s="3"/>
      <c r="C83" s="3"/>
      <c r="D83" s="3"/>
      <c r="E83" s="3"/>
    </row>
    <row r="84" spans="1:5" ht="14.5" customHeight="1" x14ac:dyDescent="0.35">
      <c r="A84" s="29" t="s">
        <v>294</v>
      </c>
      <c r="B84" s="3"/>
      <c r="C84" s="3"/>
      <c r="D84" s="3"/>
      <c r="E84" s="3"/>
    </row>
    <row r="85" spans="1:5" ht="14.5" customHeight="1" x14ac:dyDescent="0.35">
      <c r="A85" s="28"/>
      <c r="B85" s="3"/>
      <c r="C85" s="3"/>
      <c r="D85" s="3"/>
      <c r="E85" s="3"/>
    </row>
    <row r="86" spans="1:5" ht="14.5" customHeight="1" x14ac:dyDescent="0.35">
      <c r="A86" s="29" t="s">
        <v>295</v>
      </c>
      <c r="B86" s="3"/>
      <c r="C86" s="3"/>
      <c r="D86" s="3"/>
      <c r="E86" s="3"/>
    </row>
    <row r="87" spans="1:5" ht="14.5" customHeight="1" x14ac:dyDescent="0.35">
      <c r="A87" s="3"/>
      <c r="B87" s="3"/>
      <c r="C87" s="3"/>
      <c r="D87" s="3"/>
      <c r="E87" s="3"/>
    </row>
    <row r="88" spans="1:5" ht="14.5" customHeight="1" x14ac:dyDescent="0.35">
      <c r="A88" s="27" t="s">
        <v>262</v>
      </c>
      <c r="B88" s="3"/>
      <c r="C88" s="3"/>
      <c r="D88" s="3"/>
      <c r="E88" s="3"/>
    </row>
    <row r="89" spans="1:5" ht="14.5" customHeight="1" x14ac:dyDescent="0.35">
      <c r="A89" s="10" t="s">
        <v>296</v>
      </c>
      <c r="B89" s="3"/>
      <c r="C89" s="3"/>
      <c r="D89" s="3"/>
      <c r="E89" s="3"/>
    </row>
    <row r="90" spans="1:5" ht="14.5" customHeight="1" x14ac:dyDescent="0.35">
      <c r="A90" s="3"/>
      <c r="B90" s="3"/>
      <c r="C90" s="3"/>
      <c r="D90" s="3"/>
      <c r="E90" s="3"/>
    </row>
    <row r="91" spans="1:5" ht="14.5" customHeight="1" x14ac:dyDescent="0.35">
      <c r="A91" s="27" t="s">
        <v>264</v>
      </c>
      <c r="B91" s="3"/>
      <c r="C91" s="3"/>
      <c r="D91" s="3"/>
      <c r="E91" s="3"/>
    </row>
    <row r="92" spans="1:5" ht="14.5" customHeight="1" x14ac:dyDescent="0.35">
      <c r="A92" s="10" t="s">
        <v>297</v>
      </c>
      <c r="B92" s="3"/>
      <c r="C92" s="3"/>
      <c r="D92" s="3"/>
      <c r="E92" s="3"/>
    </row>
    <row r="93" spans="1:5" ht="14.5" customHeight="1" x14ac:dyDescent="0.35">
      <c r="A93" s="3"/>
      <c r="B93" s="3"/>
      <c r="C93" s="3"/>
      <c r="D93" s="3"/>
      <c r="E93" s="3"/>
    </row>
    <row r="94" spans="1:5" ht="14.5" customHeight="1" x14ac:dyDescent="0.35">
      <c r="A94" s="27" t="s">
        <v>266</v>
      </c>
      <c r="B94" s="3"/>
      <c r="C94" s="3"/>
      <c r="D94" s="3"/>
      <c r="E94" s="3"/>
    </row>
    <row r="95" spans="1:5" ht="14.5" customHeight="1" x14ac:dyDescent="0.35">
      <c r="A95" s="10" t="s">
        <v>298</v>
      </c>
      <c r="B95" s="3"/>
      <c r="C95" s="3"/>
      <c r="D95" s="3"/>
      <c r="E95" s="3"/>
    </row>
    <row r="96" spans="1:5" ht="14.5" customHeight="1" x14ac:dyDescent="0.35">
      <c r="A96" s="3"/>
      <c r="B96" s="3"/>
      <c r="C96" s="3"/>
      <c r="D96" s="3"/>
      <c r="E96" s="3"/>
    </row>
    <row r="97" spans="1:5" ht="14.5" customHeight="1" x14ac:dyDescent="0.35">
      <c r="A97" s="27" t="s">
        <v>268</v>
      </c>
      <c r="B97" s="3"/>
      <c r="C97" s="3"/>
      <c r="D97" s="3"/>
      <c r="E97" s="3"/>
    </row>
    <row r="98" spans="1:5" ht="14.5" customHeight="1" x14ac:dyDescent="0.35">
      <c r="A98" s="28"/>
      <c r="B98" s="3"/>
      <c r="C98" s="3"/>
      <c r="D98" s="3"/>
      <c r="E98" s="3"/>
    </row>
    <row r="99" spans="1:5" ht="14.5" customHeight="1" x14ac:dyDescent="0.35">
      <c r="A99" s="29" t="s">
        <v>299</v>
      </c>
      <c r="B99" s="3"/>
      <c r="C99" s="3"/>
      <c r="D99" s="3"/>
      <c r="E99" s="3"/>
    </row>
    <row r="100" spans="1:5" ht="14.5" customHeight="1" x14ac:dyDescent="0.35">
      <c r="A100" s="28"/>
      <c r="B100" s="3"/>
      <c r="C100" s="3"/>
      <c r="D100" s="3"/>
      <c r="E100" s="3"/>
    </row>
    <row r="101" spans="1:5" ht="14.5" customHeight="1" x14ac:dyDescent="0.35">
      <c r="A101" s="29" t="s">
        <v>300</v>
      </c>
      <c r="B101" s="3"/>
      <c r="C101" s="3"/>
      <c r="D101" s="3"/>
      <c r="E101" s="3"/>
    </row>
    <row r="102" spans="1:5" ht="14.5" customHeight="1" x14ac:dyDescent="0.35">
      <c r="A102" s="28"/>
      <c r="B102" s="3"/>
      <c r="C102" s="3"/>
      <c r="D102" s="3"/>
      <c r="E102" s="3"/>
    </row>
    <row r="103" spans="1:5" ht="14.5" customHeight="1" x14ac:dyDescent="0.35">
      <c r="A103" s="29" t="s">
        <v>301</v>
      </c>
      <c r="B103" s="3"/>
      <c r="C103" s="3"/>
      <c r="D103" s="3"/>
      <c r="E103" s="3"/>
    </row>
    <row r="104" spans="1:5" ht="14.5" customHeight="1" x14ac:dyDescent="0.35">
      <c r="A104" s="3"/>
      <c r="B104" s="3"/>
      <c r="C104" s="3"/>
      <c r="D104" s="3"/>
      <c r="E104" s="3"/>
    </row>
    <row r="105" spans="1:5" ht="14.5" customHeight="1" x14ac:dyDescent="0.35">
      <c r="A105" s="27" t="s">
        <v>271</v>
      </c>
      <c r="B105" s="3"/>
      <c r="C105" s="3"/>
      <c r="D105" s="3"/>
      <c r="E105" s="3"/>
    </row>
    <row r="106" spans="1:5" ht="14.5" customHeight="1" x14ac:dyDescent="0.35">
      <c r="A106" s="28"/>
      <c r="B106" s="3"/>
      <c r="C106" s="3"/>
      <c r="D106" s="3"/>
      <c r="E106" s="3"/>
    </row>
    <row r="107" spans="1:5" ht="14.5" customHeight="1" x14ac:dyDescent="0.35">
      <c r="A107" s="29" t="s">
        <v>302</v>
      </c>
      <c r="B107" s="3"/>
      <c r="C107" s="3"/>
      <c r="D107" s="3"/>
      <c r="E107" s="3"/>
    </row>
    <row r="108" spans="1:5" ht="14.5" customHeight="1" x14ac:dyDescent="0.35">
      <c r="A108" s="28"/>
      <c r="B108" s="3"/>
      <c r="C108" s="3"/>
      <c r="D108" s="3"/>
      <c r="E108" s="3"/>
    </row>
    <row r="109" spans="1:5" ht="14.5" customHeight="1" x14ac:dyDescent="0.35">
      <c r="A109" s="29" t="s">
        <v>303</v>
      </c>
      <c r="B109" s="3"/>
      <c r="C109" s="3"/>
      <c r="D109" s="3"/>
      <c r="E109" s="3"/>
    </row>
    <row r="110" spans="1:5" ht="14.5" customHeight="1" x14ac:dyDescent="0.35">
      <c r="A110" s="28"/>
      <c r="B110" s="3"/>
      <c r="C110" s="3"/>
      <c r="D110" s="3"/>
      <c r="E110" s="3"/>
    </row>
    <row r="111" spans="1:5" ht="14.5" customHeight="1" x14ac:dyDescent="0.35">
      <c r="A111" s="29" t="s">
        <v>304</v>
      </c>
      <c r="B111" s="3"/>
      <c r="C111" s="3"/>
      <c r="D111" s="3"/>
      <c r="E111" s="3"/>
    </row>
    <row r="112" spans="1:5" ht="14.5" customHeight="1" x14ac:dyDescent="0.35">
      <c r="A112" s="28"/>
      <c r="B112" s="3"/>
      <c r="C112" s="3"/>
      <c r="D112" s="3"/>
      <c r="E112" s="3"/>
    </row>
    <row r="113" spans="1:5" ht="14.5" customHeight="1" x14ac:dyDescent="0.35">
      <c r="A113" s="29" t="s">
        <v>305</v>
      </c>
      <c r="B113" s="3"/>
      <c r="C113" s="3"/>
      <c r="D113" s="3"/>
      <c r="E113" s="3"/>
    </row>
    <row r="114" spans="1:5" ht="14.5" customHeight="1" x14ac:dyDescent="0.35">
      <c r="A114" s="28"/>
      <c r="B114" s="3"/>
      <c r="C114" s="3"/>
      <c r="D114" s="3"/>
      <c r="E114" s="3"/>
    </row>
    <row r="115" spans="1:5" ht="14.5" customHeight="1" x14ac:dyDescent="0.35">
      <c r="A115" s="29" t="s">
        <v>306</v>
      </c>
      <c r="B115" s="3"/>
      <c r="C115" s="3"/>
      <c r="D115" s="3"/>
      <c r="E115" s="3"/>
    </row>
    <row r="116" spans="1:5" ht="14.5" customHeight="1" x14ac:dyDescent="0.35">
      <c r="A116" s="28"/>
      <c r="B116" s="3"/>
      <c r="C116" s="3"/>
      <c r="D116" s="3"/>
      <c r="E116" s="3"/>
    </row>
    <row r="117" spans="1:5" ht="14.5" customHeight="1" x14ac:dyDescent="0.35">
      <c r="A117" s="29" t="s">
        <v>307</v>
      </c>
      <c r="B117" s="3"/>
      <c r="C117" s="3"/>
      <c r="D117" s="3"/>
      <c r="E117" s="3"/>
    </row>
    <row r="118" spans="1:5" ht="14.5" customHeight="1" x14ac:dyDescent="0.35">
      <c r="A118" s="3"/>
      <c r="B118" s="3"/>
      <c r="C118" s="3"/>
      <c r="D118" s="3"/>
      <c r="E118" s="3"/>
    </row>
    <row r="119" spans="1:5" ht="14.5" customHeight="1" x14ac:dyDescent="0.35">
      <c r="A119" s="27" t="s">
        <v>277</v>
      </c>
      <c r="B119" s="3"/>
      <c r="C119" s="3"/>
      <c r="D119" s="3"/>
      <c r="E119" s="3"/>
    </row>
    <row r="120" spans="1:5" ht="14.5" customHeight="1" x14ac:dyDescent="0.35">
      <c r="A120" s="10" t="s">
        <v>308</v>
      </c>
      <c r="B120" s="3"/>
      <c r="C120" s="3"/>
      <c r="D120" s="3"/>
      <c r="E120" s="3"/>
    </row>
    <row r="121" spans="1:5" ht="14.5" customHeight="1" x14ac:dyDescent="0.35">
      <c r="A121" s="10" t="s">
        <v>309</v>
      </c>
      <c r="B121" s="3"/>
      <c r="C121" s="3"/>
      <c r="D121" s="3"/>
      <c r="E121" s="3"/>
    </row>
    <row r="122" spans="1:5" ht="14.5" customHeight="1" x14ac:dyDescent="0.35">
      <c r="A122" s="3"/>
      <c r="B122" s="3"/>
      <c r="C122" s="3"/>
      <c r="D122" s="3"/>
      <c r="E122" s="3"/>
    </row>
    <row r="123" spans="1:5" ht="14.5" customHeight="1" x14ac:dyDescent="0.35">
      <c r="A123" s="27" t="s">
        <v>280</v>
      </c>
      <c r="B123" s="3"/>
      <c r="C123" s="3"/>
      <c r="D123" s="3"/>
      <c r="E123" s="3"/>
    </row>
    <row r="124" spans="1:5" ht="14.5" customHeight="1" x14ac:dyDescent="0.35">
      <c r="A124" s="10" t="s">
        <v>310</v>
      </c>
      <c r="B124" s="3"/>
      <c r="C124" s="3"/>
      <c r="D124" s="3"/>
      <c r="E124" s="3"/>
    </row>
    <row r="125" spans="1:5" ht="14.5" customHeight="1" x14ac:dyDescent="0.35">
      <c r="A125" s="28"/>
      <c r="B125" s="3"/>
      <c r="C125" s="3"/>
      <c r="D125" s="3"/>
      <c r="E125" s="3"/>
    </row>
    <row r="126" spans="1:5" ht="14.5" customHeight="1" x14ac:dyDescent="0.35">
      <c r="A126" s="29" t="s">
        <v>311</v>
      </c>
      <c r="B126" s="3"/>
      <c r="C126" s="3"/>
      <c r="D126" s="3"/>
      <c r="E126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"/>
  <sheetViews>
    <sheetView showGridLines="0" topLeftCell="A37" workbookViewId="0"/>
  </sheetViews>
  <sheetFormatPr baseColWidth="10" defaultColWidth="11.453125" defaultRowHeight="14.5" customHeight="1" x14ac:dyDescent="0.35"/>
  <cols>
    <col min="1" max="1" width="27.453125" style="1" customWidth="1"/>
    <col min="2" max="2" width="57.81640625" style="1" customWidth="1"/>
    <col min="3" max="3" width="68.1796875" style="1" customWidth="1"/>
    <col min="4" max="6" width="11.453125" style="1" customWidth="1"/>
    <col min="7" max="16384" width="11.453125" style="1"/>
  </cols>
  <sheetData>
    <row r="1" spans="1:5" ht="31" customHeight="1" x14ac:dyDescent="0.35">
      <c r="A1" s="31" t="s">
        <v>312</v>
      </c>
      <c r="B1" s="3"/>
      <c r="C1" s="3"/>
      <c r="D1" s="3"/>
      <c r="E1" s="3"/>
    </row>
    <row r="2" spans="1:5" ht="15" customHeight="1" x14ac:dyDescent="0.35">
      <c r="A2" s="4"/>
      <c r="B2" s="4"/>
      <c r="C2" s="3"/>
      <c r="D2" s="3"/>
      <c r="E2" s="3"/>
    </row>
    <row r="3" spans="1:5" ht="16.5" customHeight="1" x14ac:dyDescent="0.35">
      <c r="A3" s="32" t="s">
        <v>313</v>
      </c>
      <c r="B3" s="32" t="s">
        <v>314</v>
      </c>
      <c r="C3" s="20"/>
      <c r="D3" s="3"/>
      <c r="E3" s="3"/>
    </row>
    <row r="4" spans="1:5" ht="118.5" customHeight="1" x14ac:dyDescent="0.35">
      <c r="A4" s="40" t="s">
        <v>315</v>
      </c>
      <c r="B4" s="34" t="s">
        <v>316</v>
      </c>
      <c r="C4" s="35"/>
      <c r="D4" s="3"/>
      <c r="E4" s="3"/>
    </row>
    <row r="5" spans="1:5" ht="29" customHeight="1" x14ac:dyDescent="0.35">
      <c r="A5" s="41"/>
      <c r="B5" s="34" t="s">
        <v>317</v>
      </c>
      <c r="C5" s="35"/>
      <c r="D5" s="3"/>
      <c r="E5" s="3"/>
    </row>
    <row r="6" spans="1:5" ht="16" customHeight="1" x14ac:dyDescent="0.35">
      <c r="A6" s="41"/>
      <c r="B6" s="34" t="s">
        <v>318</v>
      </c>
      <c r="C6" s="35"/>
      <c r="D6" s="3"/>
      <c r="E6" s="3"/>
    </row>
    <row r="7" spans="1:5" ht="16" customHeight="1" x14ac:dyDescent="0.35">
      <c r="A7" s="40" t="s">
        <v>319</v>
      </c>
      <c r="B7" s="34" t="s">
        <v>320</v>
      </c>
      <c r="C7" s="35"/>
      <c r="D7" s="3"/>
      <c r="E7" s="3"/>
    </row>
    <row r="8" spans="1:5" ht="16" customHeight="1" x14ac:dyDescent="0.35">
      <c r="A8" s="41"/>
      <c r="B8" s="34" t="s">
        <v>321</v>
      </c>
      <c r="C8" s="35"/>
      <c r="D8" s="3"/>
      <c r="E8" s="3"/>
    </row>
    <row r="9" spans="1:5" ht="29" customHeight="1" x14ac:dyDescent="0.35">
      <c r="A9" s="40" t="s">
        <v>322</v>
      </c>
      <c r="B9" s="34" t="s">
        <v>323</v>
      </c>
      <c r="C9" s="35"/>
      <c r="D9" s="3"/>
      <c r="E9" s="3"/>
    </row>
    <row r="10" spans="1:5" ht="16" customHeight="1" x14ac:dyDescent="0.35">
      <c r="A10" s="41"/>
      <c r="B10" s="34" t="s">
        <v>324</v>
      </c>
      <c r="C10" s="35"/>
      <c r="D10" s="3"/>
      <c r="E10" s="3"/>
    </row>
    <row r="11" spans="1:5" ht="16" customHeight="1" x14ac:dyDescent="0.35">
      <c r="A11" s="40" t="s">
        <v>325</v>
      </c>
      <c r="B11" s="34" t="s">
        <v>326</v>
      </c>
      <c r="C11" s="35"/>
      <c r="D11" s="3"/>
      <c r="E11" s="3"/>
    </row>
    <row r="12" spans="1:5" ht="16" customHeight="1" x14ac:dyDescent="0.35">
      <c r="A12" s="41"/>
      <c r="B12" s="34" t="s">
        <v>327</v>
      </c>
      <c r="C12" s="35"/>
      <c r="D12" s="3"/>
      <c r="E12" s="3"/>
    </row>
    <row r="13" spans="1:5" ht="16" customHeight="1" x14ac:dyDescent="0.35">
      <c r="A13" s="40" t="s">
        <v>328</v>
      </c>
      <c r="B13" s="34" t="s">
        <v>329</v>
      </c>
      <c r="C13" s="35"/>
      <c r="D13" s="3"/>
      <c r="E13" s="3"/>
    </row>
    <row r="14" spans="1:5" ht="75" customHeight="1" x14ac:dyDescent="0.35">
      <c r="A14" s="41"/>
      <c r="B14" s="34" t="s">
        <v>330</v>
      </c>
      <c r="C14" s="35"/>
      <c r="D14" s="3"/>
      <c r="E14" s="3"/>
    </row>
    <row r="15" spans="1:5" ht="135" customHeight="1" x14ac:dyDescent="0.35">
      <c r="A15" s="38" t="s">
        <v>331</v>
      </c>
      <c r="B15" s="34" t="s">
        <v>332</v>
      </c>
      <c r="C15" s="35"/>
      <c r="D15" s="3"/>
      <c r="E15" s="3"/>
    </row>
    <row r="16" spans="1:5" ht="75" customHeight="1" x14ac:dyDescent="0.35">
      <c r="A16" s="39"/>
      <c r="B16" s="34" t="s">
        <v>333</v>
      </c>
      <c r="C16" s="35"/>
      <c r="D16" s="3"/>
      <c r="E16" s="3"/>
    </row>
    <row r="17" spans="1:5" ht="195" customHeight="1" x14ac:dyDescent="0.35">
      <c r="A17" s="38" t="s">
        <v>334</v>
      </c>
      <c r="B17" s="34" t="s">
        <v>335</v>
      </c>
      <c r="C17" s="35"/>
      <c r="D17" s="3"/>
      <c r="E17" s="3"/>
    </row>
    <row r="18" spans="1:5" ht="60" customHeight="1" x14ac:dyDescent="0.35">
      <c r="A18" s="39"/>
      <c r="B18" s="34" t="s">
        <v>336</v>
      </c>
      <c r="C18" s="35"/>
      <c r="D18" s="3"/>
      <c r="E18" s="3"/>
    </row>
    <row r="19" spans="1:5" ht="180" customHeight="1" x14ac:dyDescent="0.35">
      <c r="A19" s="38" t="s">
        <v>337</v>
      </c>
      <c r="B19" s="34" t="s">
        <v>338</v>
      </c>
      <c r="C19" s="35"/>
      <c r="D19" s="3"/>
      <c r="E19" s="3"/>
    </row>
    <row r="20" spans="1:5" ht="135" customHeight="1" x14ac:dyDescent="0.35">
      <c r="A20" s="39"/>
      <c r="B20" s="34" t="s">
        <v>339</v>
      </c>
      <c r="C20" s="35"/>
      <c r="D20" s="3"/>
      <c r="E20" s="3"/>
    </row>
    <row r="21" spans="1:5" ht="135" customHeight="1" x14ac:dyDescent="0.35">
      <c r="A21" s="33" t="s">
        <v>340</v>
      </c>
      <c r="B21" s="34" t="s">
        <v>341</v>
      </c>
      <c r="C21" s="35"/>
      <c r="D21" s="3"/>
      <c r="E21" s="3"/>
    </row>
    <row r="22" spans="1:5" ht="14.5" customHeight="1" x14ac:dyDescent="0.35">
      <c r="A22" s="36"/>
      <c r="B22" s="36"/>
      <c r="C22" s="3"/>
      <c r="D22" s="3"/>
      <c r="E22" s="3"/>
    </row>
    <row r="23" spans="1:5" ht="14.5" customHeight="1" x14ac:dyDescent="0.35">
      <c r="A23" s="3"/>
      <c r="B23" s="3"/>
      <c r="C23" s="3"/>
      <c r="D23" s="3"/>
      <c r="E23" s="3"/>
    </row>
    <row r="24" spans="1:5" ht="15" customHeight="1" x14ac:dyDescent="0.35">
      <c r="A24" s="4"/>
      <c r="B24" s="4"/>
      <c r="C24" s="4"/>
      <c r="D24" s="3"/>
      <c r="E24" s="3"/>
    </row>
    <row r="25" spans="1:5" ht="16.5" customHeight="1" x14ac:dyDescent="0.35">
      <c r="A25" s="32" t="s">
        <v>342</v>
      </c>
      <c r="B25" s="32" t="s">
        <v>343</v>
      </c>
      <c r="C25" s="32" t="s">
        <v>344</v>
      </c>
      <c r="D25" s="20"/>
      <c r="E25" s="3"/>
    </row>
    <row r="26" spans="1:5" ht="16" customHeight="1" x14ac:dyDescent="0.35">
      <c r="A26" s="34" t="s">
        <v>345</v>
      </c>
      <c r="B26" s="34" t="s">
        <v>346</v>
      </c>
      <c r="C26" s="34" t="s">
        <v>347</v>
      </c>
      <c r="D26" s="35"/>
      <c r="E26" s="3"/>
    </row>
    <row r="27" spans="1:5" ht="105" customHeight="1" x14ac:dyDescent="0.35">
      <c r="A27" s="37"/>
      <c r="B27" s="37"/>
      <c r="C27" s="34" t="s">
        <v>348</v>
      </c>
      <c r="D27" s="35"/>
      <c r="E27" s="3"/>
    </row>
    <row r="28" spans="1:5" ht="60" customHeight="1" x14ac:dyDescent="0.35">
      <c r="A28" s="37"/>
      <c r="B28" s="37"/>
      <c r="C28" s="34" t="s">
        <v>349</v>
      </c>
      <c r="D28" s="35"/>
      <c r="E28" s="3"/>
    </row>
    <row r="29" spans="1:5" ht="90" customHeight="1" x14ac:dyDescent="0.35">
      <c r="A29" s="34" t="s">
        <v>350</v>
      </c>
      <c r="B29" s="34" t="s">
        <v>351</v>
      </c>
      <c r="C29" s="34" t="s">
        <v>352</v>
      </c>
      <c r="D29" s="35"/>
      <c r="E29" s="3"/>
    </row>
    <row r="30" spans="1:5" ht="45" customHeight="1" x14ac:dyDescent="0.35">
      <c r="A30" s="37"/>
      <c r="B30" s="37"/>
      <c r="C30" s="34" t="s">
        <v>353</v>
      </c>
      <c r="D30" s="35"/>
      <c r="E30" s="3"/>
    </row>
    <row r="31" spans="1:5" ht="60" customHeight="1" x14ac:dyDescent="0.35">
      <c r="A31" s="37"/>
      <c r="B31" s="37"/>
      <c r="C31" s="34" t="s">
        <v>354</v>
      </c>
      <c r="D31" s="35"/>
      <c r="E31" s="3"/>
    </row>
    <row r="32" spans="1:5" ht="75" customHeight="1" x14ac:dyDescent="0.35">
      <c r="A32" s="37"/>
      <c r="B32" s="37"/>
      <c r="C32" s="34" t="s">
        <v>355</v>
      </c>
      <c r="D32" s="35"/>
      <c r="E32" s="3"/>
    </row>
    <row r="33" spans="1:5" ht="105" customHeight="1" x14ac:dyDescent="0.35">
      <c r="A33" s="34" t="s">
        <v>356</v>
      </c>
      <c r="B33" s="34" t="s">
        <v>357</v>
      </c>
      <c r="C33" s="34" t="s">
        <v>358</v>
      </c>
      <c r="D33" s="35"/>
      <c r="E33" s="3"/>
    </row>
    <row r="34" spans="1:5" ht="90" customHeight="1" x14ac:dyDescent="0.35">
      <c r="A34" s="37"/>
      <c r="B34" s="37"/>
      <c r="C34" s="34" t="s">
        <v>359</v>
      </c>
      <c r="D34" s="35"/>
      <c r="E34" s="3"/>
    </row>
    <row r="35" spans="1:5" ht="120" customHeight="1" x14ac:dyDescent="0.35">
      <c r="A35" s="37"/>
      <c r="B35" s="37"/>
      <c r="C35" s="34" t="s">
        <v>360</v>
      </c>
      <c r="D35" s="35"/>
      <c r="E35" s="3"/>
    </row>
    <row r="36" spans="1:5" ht="120" customHeight="1" x14ac:dyDescent="0.35">
      <c r="A36" s="34" t="s">
        <v>361</v>
      </c>
      <c r="B36" s="34" t="s">
        <v>362</v>
      </c>
      <c r="C36" s="34" t="s">
        <v>363</v>
      </c>
      <c r="D36" s="35"/>
      <c r="E36" s="3"/>
    </row>
    <row r="37" spans="1:5" ht="105" customHeight="1" x14ac:dyDescent="0.35">
      <c r="A37" s="37"/>
      <c r="B37" s="37"/>
      <c r="C37" s="34" t="s">
        <v>364</v>
      </c>
      <c r="D37" s="35"/>
      <c r="E37" s="3"/>
    </row>
    <row r="38" spans="1:5" ht="60" customHeight="1" x14ac:dyDescent="0.35">
      <c r="A38" s="37"/>
      <c r="B38" s="37"/>
      <c r="C38" s="34" t="s">
        <v>365</v>
      </c>
      <c r="D38" s="35"/>
      <c r="E38" s="3"/>
    </row>
    <row r="39" spans="1:5" ht="75" customHeight="1" x14ac:dyDescent="0.35">
      <c r="A39" s="37"/>
      <c r="B39" s="37"/>
      <c r="C39" s="34" t="s">
        <v>366</v>
      </c>
      <c r="D39" s="35"/>
      <c r="E39" s="3"/>
    </row>
    <row r="40" spans="1:5" ht="14.5" customHeight="1" x14ac:dyDescent="0.35">
      <c r="A40" s="36"/>
      <c r="B40" s="36"/>
      <c r="C40" s="36"/>
      <c r="D40" s="3"/>
      <c r="E40" s="3"/>
    </row>
    <row r="41" spans="1:5" ht="14.5" customHeight="1" x14ac:dyDescent="0.35">
      <c r="A41" s="3"/>
      <c r="B41" s="3"/>
      <c r="C41" s="3"/>
      <c r="D41" s="3"/>
      <c r="E41" s="3"/>
    </row>
    <row r="42" spans="1:5" ht="31" customHeight="1" x14ac:dyDescent="0.35">
      <c r="A42" s="31" t="s">
        <v>367</v>
      </c>
      <c r="B42" s="3"/>
      <c r="C42" s="3"/>
      <c r="D42" s="3"/>
      <c r="E42" s="3"/>
    </row>
    <row r="43" spans="1:5" ht="15" customHeight="1" x14ac:dyDescent="0.35">
      <c r="A43" s="4"/>
      <c r="B43" s="4"/>
      <c r="C43" s="3"/>
      <c r="D43" s="3"/>
      <c r="E43" s="3"/>
    </row>
    <row r="44" spans="1:5" ht="16.5" customHeight="1" x14ac:dyDescent="0.35">
      <c r="A44" s="32" t="s">
        <v>368</v>
      </c>
      <c r="B44" s="32" t="s">
        <v>369</v>
      </c>
      <c r="C44" s="20"/>
      <c r="D44" s="3"/>
      <c r="E44" s="3"/>
    </row>
    <row r="45" spans="1:5" ht="16" customHeight="1" x14ac:dyDescent="0.35">
      <c r="A45" s="34" t="s">
        <v>370</v>
      </c>
      <c r="B45" s="34" t="s">
        <v>371</v>
      </c>
      <c r="C45" s="35"/>
      <c r="D45" s="3"/>
      <c r="E45" s="3"/>
    </row>
    <row r="46" spans="1:5" ht="29" customHeight="1" x14ac:dyDescent="0.35">
      <c r="A46" s="34" t="s">
        <v>372</v>
      </c>
      <c r="B46" s="34" t="s">
        <v>373</v>
      </c>
      <c r="C46" s="35"/>
      <c r="D46" s="3"/>
      <c r="E46" s="3"/>
    </row>
    <row r="47" spans="1:5" ht="29" customHeight="1" x14ac:dyDescent="0.35">
      <c r="A47" s="34" t="s">
        <v>374</v>
      </c>
      <c r="B47" s="34" t="s">
        <v>375</v>
      </c>
      <c r="C47" s="35"/>
      <c r="D47" s="3"/>
      <c r="E47" s="3"/>
    </row>
    <row r="48" spans="1:5" ht="16" customHeight="1" x14ac:dyDescent="0.35">
      <c r="A48" s="34" t="s">
        <v>376</v>
      </c>
      <c r="B48" s="34" t="s">
        <v>377</v>
      </c>
      <c r="C48" s="35"/>
      <c r="D48" s="3"/>
      <c r="E48" s="3"/>
    </row>
    <row r="49" spans="1:5" ht="29" customHeight="1" x14ac:dyDescent="0.35">
      <c r="A49" s="34" t="s">
        <v>378</v>
      </c>
      <c r="B49" s="34" t="s">
        <v>379</v>
      </c>
      <c r="C49" s="35"/>
      <c r="D49" s="3"/>
      <c r="E49" s="3"/>
    </row>
    <row r="50" spans="1:5" ht="29" customHeight="1" x14ac:dyDescent="0.35">
      <c r="A50" s="34" t="s">
        <v>380</v>
      </c>
      <c r="B50" s="34" t="s">
        <v>381</v>
      </c>
      <c r="C50" s="35"/>
      <c r="D50" s="3"/>
      <c r="E50" s="3"/>
    </row>
  </sheetData>
  <mergeCells count="8">
    <mergeCell ref="A17:A18"/>
    <mergeCell ref="A19:A20"/>
    <mergeCell ref="A4:A6"/>
    <mergeCell ref="A7:A8"/>
    <mergeCell ref="A9:A10"/>
    <mergeCell ref="A11:A12"/>
    <mergeCell ref="A13:A14"/>
    <mergeCell ref="A15:A16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Registre de risques</vt:lpstr>
      <vt:lpstr>GRILLE DE SCORING </vt:lpstr>
      <vt:lpstr>Mini-registre RGPD</vt:lpstr>
      <vt:lpstr>Contrôles clés &amp; Plan d’action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Pinto-Jounel</cp:lastModifiedBy>
  <dcterms:modified xsi:type="dcterms:W3CDTF">2025-11-02T15:15:41Z</dcterms:modified>
</cp:coreProperties>
</file>